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0d1e1f8b34b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 Summary" sheetId="1" r:id="R818bbc7594b742e0"/>
    <x:sheet xmlns:r="http://schemas.openxmlformats.org/officeDocument/2006/relationships" name="Field Associations" sheetId="2" r:id="Rf80c9e0aab554239"/>
    <x:sheet xmlns:r="http://schemas.openxmlformats.org/officeDocument/2006/relationships" name="Simplified Audit" sheetId="3" r:id="R0bcce824bc2440a4"/>
    <x:sheet xmlns:r="http://schemas.openxmlformats.org/officeDocument/2006/relationships" name="Gap &amp; Override Register" sheetId="4" r:id="Raff5e1ed39774d96"/>
    <x:sheet xmlns:r="http://schemas.openxmlformats.org/officeDocument/2006/relationships" name="Policy Decisions" sheetId="5" r:id="R77091acd96914b46"/>
    <x:sheet xmlns:r="http://schemas.openxmlformats.org/officeDocument/2006/relationships" name="Source Notes" sheetId="6" r:id="R66e74295c14440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3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b/>
      <x:sz val="10"/>
      <x:color rgb="FFFFFFFF"/>
      <x:name val="Carlito"/>
    </x:font>
    <x:font>
      <x:sz val="9"/>
      <x:color rgb="FF1F1F1F"/>
      <x:name val="Carlito"/>
    </x:font>
    <x:font>
      <x:b/>
      <x:sz val="11"/>
      <x:color rgb="FF17365D"/>
      <x:name val="Carlito"/>
    </x:font>
    <x:font>
      <x:b/>
      <x:sz val="22"/>
      <x:color rgb="FF17365D"/>
      <x:name val="Carlito"/>
    </x:font>
    <x:font>
      <x:b/>
      <x:sz val="9"/>
      <x:color rgb="FF17365D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sz val="11"/>
      <x:color rgb="FF17365D"/>
      <x:name val="Carlito"/>
    </x:font>
    <x:font>
      <x:sz val="10"/>
      <x:color rgb="FF1F1F1F"/>
      <x:name val="Carlito"/>
    </x:font>
    <x:font>
      <x:i/>
      <x:sz val="9"/>
      <x:color rgb="FF59595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7"/>
      </x:patternFill>
    </x:fill>
    <x:fill>
      <x:patternFill patternType="solid">
        <x:fgColor rgb="FFD9E6F2"/>
      </x:patternFill>
    </x:fill>
    <x:fill>
      <x:patternFill patternType="solid">
        <x:fgColor rgb="FFFFFFFF"/>
      </x:patternFill>
    </x:fill>
  </x:fills>
  <x:borders count="16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left style="thin">
        <x:color rgb="FFA6A6A6"/>
      </x:left>
      <x:top style="thin">
        <x:color rgb="FFA6A6A6"/>
      </x:top>
      <x:bottom style="thin">
        <x:color rgb="FFA6A6A6"/>
      </x:bottom>
    </x:border>
    <x:border>
      <x:top style="thin">
        <x:color rgb="FFA6A6A6"/>
      </x:top>
      <x:bottom style="thin">
        <x:color rgb="FFA6A6A6"/>
      </x:bottom>
    </x:border>
    <x:border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left style="thin">
        <x:color rgb="FFA6A6A6"/>
      </x:left>
    </x:border>
    <x:border>
      <x:right style="thin">
        <x:color rgb="FFA6A6A6"/>
      </x:right>
    </x:border>
    <x:border>
      <x:top style="thin">
        <x:color rgb="FFD9D9D9"/>
      </x:top>
    </x:border>
  </x:borders>
  <x:cellStyleXfs count="1">
    <x:xf numFmtId="0" fontId="0" fillId="0" borderId="0"/>
  </x:cellStyleXfs>
  <x:cellXfs count="1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0" fillId="5" borderId="0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6" fillId="5" borderId="7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0" fontId="6" fillId="5" borderId="11" xfId="0" applyNumberFormat="1" applyFont="1" applyFill="1" applyBorder="1" applyAlignment="1">
      <x:alignment vertical="center"/>
    </x:xf>
    <x:xf numFmtId="0" fontId="6" fillId="5" borderId="12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0" fontId="8" fillId="5" borderId="10" xfId="0" applyNumberFormat="1" applyFont="1" applyFill="1" applyBorder="1"/>
    <x:xf numFmtId="0" fontId="8" fillId="5" borderId="11" xfId="0" applyNumberFormat="1" applyFont="1" applyFill="1" applyBorder="1"/>
    <x:xf numFmtId="0" fontId="8" fillId="5" borderId="12" xfId="0" applyNumberFormat="1" applyFont="1" applyFill="1" applyBorder="1"/>
    <x:xf numFmtId="0" fontId="8" fillId="5" borderId="7" xfId="0" applyNumberFormat="1" applyFont="1" applyFill="1" applyBorder="1" applyAlignment="1">
      <x:alignment vertical="center"/>
    </x:xf>
    <x:xf numFmtId="0" fontId="8" fillId="5" borderId="8" xfId="0" applyNumberFormat="1" applyFont="1" applyFill="1" applyBorder="1" applyAlignment="1">
      <x:alignment vertical="center"/>
    </x:xf>
    <x:xf numFmtId="0" fontId="8" fillId="5" borderId="9" xfId="0" applyNumberFormat="1" applyFont="1" applyFill="1" applyBorder="1" applyAlignment="1">
      <x:alignment vertical="center"/>
    </x:xf>
    <x:xf numFmtId="0" fontId="8" fillId="5" borderId="10" xfId="0" applyNumberFormat="1" applyFont="1" applyFill="1" applyBorder="1" applyAlignment="1">
      <x:alignment vertical="center"/>
    </x:xf>
    <x:xf numFmtId="0" fontId="8" fillId="5" borderId="11" xfId="0" applyNumberFormat="1" applyFont="1" applyFill="1" applyBorder="1" applyAlignment="1">
      <x:alignment vertical="center"/>
    </x:xf>
    <x:xf numFmtId="0" fontId="8" fillId="5" borderId="12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7" xfId="0" applyNumberFormat="1" applyFont="1" applyFill="1" applyBorder="1"/>
    <x:xf numFmtId="0" fontId="10" fillId="3" borderId="8" xfId="0" applyNumberFormat="1" applyFont="1" applyFill="1" applyBorder="1"/>
    <x:xf numFmtId="0" fontId="10" fillId="3" borderId="9" xfId="0" applyNumberFormat="1" applyFont="1" applyFill="1" applyBorder="1"/>
    <x:xf numFmtId="0" fontId="10" fillId="3" borderId="13" xfId="0" applyNumberFormat="1" applyFont="1" applyFill="1" applyBorder="1"/>
    <x:xf numFmtId="0" fontId="10" fillId="3" borderId="14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12" xfId="0" applyNumberFormat="1" applyFont="1" applyFill="1" applyBorder="1"/>
    <x:xf numFmtId="0" fontId="10" fillId="3" borderId="7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14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12" xfId="0" applyNumberFormat="1" applyFont="1" applyFill="1" applyBorder="1" applyAlignment="1">
      <x:alignment wrapText="1"/>
    </x:xf>
    <x:xf numFmtId="0" fontId="10" fillId="3" borderId="7" xfId="0" applyNumberFormat="1" applyFont="1" applyFill="1" applyBorder="1" applyAlignment="1">
      <x:alignment vertical="top" wrapText="1"/>
    </x:xf>
    <x:xf numFmtId="0" fontId="10" fillId="3" borderId="8" xfId="0" applyNumberFormat="1" applyFont="1" applyFill="1" applyBorder="1" applyAlignment="1">
      <x:alignment vertical="top" wrapText="1"/>
    </x:xf>
    <x:xf numFmtId="0" fontId="10" fillId="3" borderId="9" xfId="0" applyNumberFormat="1" applyFont="1" applyFill="1" applyBorder="1" applyAlignment="1">
      <x:alignment vertical="top" wrapText="1"/>
    </x:xf>
    <x:xf numFmtId="0" fontId="10" fillId="3" borderId="13" xfId="0" applyNumberFormat="1" applyFont="1" applyFill="1" applyBorder="1" applyAlignment="1">
      <x:alignment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0" fillId="3" borderId="14" xfId="0" applyNumberFormat="1" applyFont="1" applyFill="1" applyBorder="1" applyAlignment="1">
      <x:alignment vertical="top" wrapText="1"/>
    </x:xf>
    <x:xf numFmtId="0" fontId="10" fillId="3" borderId="10" xfId="0" applyNumberFormat="1" applyFont="1" applyFill="1" applyBorder="1" applyAlignment="1">
      <x:alignment vertical="top" wrapText="1"/>
    </x:xf>
    <x:xf numFmtId="0" fontId="10" fillId="3" borderId="11" xfId="0" applyNumberFormat="1" applyFont="1" applyFill="1" applyBorder="1" applyAlignment="1">
      <x:alignment vertical="top" wrapText="1"/>
    </x:xf>
    <x:xf numFmtId="0" fontId="10" fillId="3" borderId="12" xfId="0" applyNumberFormat="1" applyFont="1" applyFill="1" applyBorder="1" applyAlignment="1">
      <x:alignment vertical="top" wrapText="1"/>
    </x:xf>
    <x:xf numFmtId="0" fontId="11" fillId="5" borderId="0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5" xfId="0" applyNumberFormat="1" applyFont="1" applyFill="1" applyBorder="1"/>
    <x:xf numFmtId="0" fontId="11" fillId="5" borderId="2" xfId="0" applyNumberFormat="1" applyFont="1" applyFill="1" applyBorder="1" applyAlignment="1">
      <x:alignment wrapText="1"/>
    </x:xf>
    <x:xf numFmtId="0" fontId="11" fillId="5" borderId="3" xfId="0" applyNumberFormat="1" applyFont="1" applyFill="1" applyBorder="1" applyAlignment="1">
      <x:alignment wrapText="1"/>
    </x:xf>
    <x:xf numFmtId="0" fontId="11" fillId="5" borderId="15" xfId="0" applyNumberFormat="1" applyFont="1" applyFill="1" applyBorder="1" applyAlignment="1">
      <x:alignment wrapText="1"/>
    </x:xf>
    <x:xf numFmtId="0" fontId="11" fillId="5" borderId="2" xfId="0" applyNumberFormat="1" applyFont="1" applyFill="1" applyBorder="1" applyAlignment="1">
      <x:alignment vertical="center" wrapText="1"/>
    </x:xf>
    <x:xf numFmtId="0" fontId="11" fillId="5" borderId="3" xfId="0" applyNumberFormat="1" applyFont="1" applyFill="1" applyBorder="1" applyAlignment="1">
      <x:alignment vertical="center" wrapText="1"/>
    </x:xf>
    <x:xf numFmtId="0" fontId="11" fillId="5" borderId="15" xfId="0" applyNumberFormat="1" applyFont="1" applyFill="1" applyBorder="1" applyAlignment="1">
      <x:alignment vertical="center" wrapText="1"/>
    </x:xf>
    <x:xf numFmtId="0" fontId="11" fillId="4" borderId="2" xfId="0" applyNumberFormat="1" applyFont="1" applyFill="1" applyBorder="1" applyAlignment="1">
      <x:alignment vertical="center" wrapText="1"/>
    </x:xf>
    <x:xf numFmtId="0" fontId="11" fillId="4" borderId="3" xfId="0" applyNumberFormat="1" applyFont="1" applyFill="1" applyBorder="1" applyAlignment="1">
      <x:alignment vertical="center" wrapText="1"/>
    </x:xf>
    <x:xf numFmtId="0" fontId="11" fillId="4" borderId="15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vertical="center" wrapText="1"/>
    </x:xf>
    <x:xf numFmtId="0" fontId="5" fillId="4" borderId="3" xfId="0" applyNumberFormat="1" applyFont="1" applyFill="1" applyBorder="1" applyAlignment="1">
      <x:alignment vertical="center" wrapText="1"/>
    </x:xf>
    <x:xf numFmtId="0" fontId="5" fillId="4" borderId="15" xfId="0" applyNumberFormat="1" applyFont="1" applyFill="1" applyBorder="1" applyAlignment="1">
      <x:alignment vertical="center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15" xfId="0" applyNumberFormat="1" applyFont="1" applyFill="1" applyBorder="1" applyAlignment="1">
      <x:alignment horizontal="center" vertical="center"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21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4F2D7F"/>
      </x:font>
      <x:fill>
        <x:patternFill patternType="solid">
          <x:bgColor rgb="FFE4DFEC"/>
        </x:patternFill>
      </x:fill>
    </x:dxf>
    <x:dxf>
      <x:font>
        <x:b/>
        <x:color rgb="FF17365D"/>
      </x:font>
      <x:fill>
        <x:patternFill patternType="solid">
          <x:bgColor rgb="FFD9E6F2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4F2D7F"/>
      </x:font>
      <x:fill>
        <x:patternFill patternType="solid">
          <x:bgColor rgb="FFE4DFEC"/>
        </x:patternFill>
      </x:fill>
    </x:dxf>
    <x:dxf>
      <x:font>
        <x:b/>
        <x:color rgb="FF17365D"/>
      </x:font>
      <x:fill>
        <x:patternFill patternType="solid">
          <x:bgColor rgb="FFD9E6F2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4F2D7F"/>
      </x:font>
      <x:fill>
        <x:patternFill patternType="solid">
          <x:bgColor rgb="FFE4DFE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4F2D7F"/>
      </x:font>
      <x:fill>
        <x:patternFill patternType="solid">
          <x:bgColor rgb="FFE4DFEC"/>
        </x:patternFill>
      </x:fill>
    </x:dxf>
    <x:dxf>
      <x:font>
        <x:b/>
        <x:color rgb="FF4F2D7F"/>
      </x:font>
      <x:fill>
        <x:patternFill patternType="solid">
          <x:bgColor rgb="FFE4DFE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17365D"/>
      </x:font>
      <x:fill>
        <x:patternFill patternType="solid">
          <x:bgColor rgb="FFD9E6F2"/>
        </x:patternFill>
      </x:fill>
    </x:dxf>
    <x:dxf>
      <x:font>
        <x:b/>
        <x:color rgb="FF4F2D7F"/>
      </x:font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6c3cf17bdc4e53" /><Relationship Type="http://schemas.openxmlformats.org/officeDocument/2006/relationships/theme" Target="/xl/theme/theme1.xml" Id="Rb564d2bf341b4f56" /><Relationship Type="http://schemas.openxmlformats.org/officeDocument/2006/relationships/sharedStrings" Target="/xl/sharedStrings.xml" Id="Rebc68e613cd6489c" /><Relationship Type="http://schemas.openxmlformats.org/officeDocument/2006/relationships/worksheet" Target="/xl/worksheets/sheet1.xml" Id="R818bbc7594b742e0" /><Relationship Type="http://schemas.openxmlformats.org/officeDocument/2006/relationships/worksheet" Target="/xl/worksheets/sheet2.xml" Id="Rf80c9e0aab554239" /><Relationship Type="http://schemas.openxmlformats.org/officeDocument/2006/relationships/worksheet" Target="/xl/worksheets/sheet3.xml" Id="R0bcce824bc2440a4" /><Relationship Type="http://schemas.openxmlformats.org/officeDocument/2006/relationships/worksheet" Target="/xl/worksheets/sheet4.xml" Id="Raff5e1ed39774d96" /><Relationship Type="http://schemas.openxmlformats.org/officeDocument/2006/relationships/worksheet" Target="/xl/worksheets/sheet5.xml" Id="R77091acd96914b46" /><Relationship Type="http://schemas.openxmlformats.org/officeDocument/2006/relationships/worksheet" Target="/xl/worksheets/sheet6.xml" Id="R66e74295c144409c" /></Relationships>
</file>

<file path=xl/tables/table1.xml><?xml version="1.0" encoding="utf-8"?>
<x:table xmlns:x="http://schemas.openxmlformats.org/spreadsheetml/2006/main" id="1" name="FieldAssociationsTable" displayName="FieldAssociationsTable" ref="A4:N61" headerRowCount="1" totalsRowCount="0" totalsRowShown="0">
  <x:autoFilter ref="A4:N61"/>
  <x:tableColumns count="14">
    <x:tableColumn id="1" name="Mapping ID"/>
    <x:tableColumn id="2" name="UX OS domain"/>
    <x:tableColumn id="3" name="UX OS canonical field"/>
    <x:tableColumn id="4" name="Definition / intent"/>
    <x:tableColumn id="5" name="Operational scope"/>
    <x:tableColumn id="6" name="Canix domain"/>
    <x:tableColumn id="7" name="Canix table"/>
    <x:tableColumn id="8" name="Current Canix field(s)"/>
    <x:tableColumn id="9" name="Association"/>
    <x:tableColumn id="10" name="Confidence"/>
    <x:tableColumn id="11" name="Read / write reality"/>
    <x:tableColumn id="12" name="Portal / OS handling"/>
    <x:tableColumn id="13" name="Audit finding"/>
    <x:tableColumn id="14" name="Risk / deci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mplifiedAuditTable" displayName="SimplifiedAuditTable" ref="A4:I27" headerRowCount="1" totalsRowCount="0" totalsRowShown="0">
  <x:autoFilter ref="A4:I27"/>
  <x:tableColumns count="9">
    <x:tableColumn id="1" name="License"/>
    <x:tableColumn id="2" name="UX OS field"/>
    <x:tableColumn id="3" name="Original closest Canix field"/>
    <x:tableColumn id="4" name="Original risk"/>
    <x:tableColumn id="5" name="Canonical target"/>
    <x:tableColumn id="6" name="Corrected Canix association"/>
    <x:tableColumn id="7" name="Disposition"/>
    <x:tableColumn id="8" name="Association"/>
    <x:tableColumn id="9" name="Audit rationa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resolvedGapsTable" displayName="UnresolvedGapsTable" ref="A4:H21" headerRowCount="1" totalsRowCount="0" totalsRowShown="0">
  <x:autoFilter ref="A4:H21"/>
  <x:tableColumns count="8">
    <x:tableColumn id="1" name="Priority"/>
    <x:tableColumn id="2" name="Gap"/>
    <x:tableColumn id="3" name="Current Canix evidence"/>
    <x:tableColumn id="4" name="Why it matters"/>
    <x:tableColumn id="5" name="What closes it"/>
    <x:tableColumn id="6" name="Proposed owner"/>
    <x:tableColumn id="7" name="Source status"/>
    <x:tableColumn id="8" name="Audit 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olicyDecisionsTable" displayName="PolicyDecisionsTable" ref="A4:G7" headerRowCount="1" totalsRowCount="0" totalsRowShown="0">
  <x:autoFilter ref="A4:G7"/>
  <x:tableColumns count="7">
    <x:tableColumn id="1" name="UX OS field"/>
    <x:tableColumn id="2" name="Canix source"/>
    <x:tableColumn id="3" name="Portal normalization rule"/>
    <x:tableColumn id="4" name="Blank allowed"/>
    <x:tableColumn id="5" name="Raw field preservation"/>
    <x:tableColumn id="6" name="Guardrail"/>
    <x:tableColumn id="7" name="Decision 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NotesTable" displayName="SourceNotesTable" ref="A4:E20" headerRowCount="1" totalsRowCount="0" totalsRowShown="0">
  <x:autoFilter ref="A4:E20"/>
  <x:tableColumns count="5">
    <x:tableColumn id="1" name="Type"/>
    <x:tableColumn id="2" name="Source / term"/>
    <x:tableColumn id="3" name="Location / evidence"/>
    <x:tableColumn id="4" name="Audit treatment"/>
    <x:tableColumn id="5" name="As 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6a911ec74540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ebc06a047642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ef176cc9e14b9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a83e4f570c4f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7e7ef964a649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3.329999923706055" hidden="0" customWidth="1"/>
    <x:col min="3" max="3" width="28.889999389648438" hidden="0" customWidth="1"/>
    <x:col min="4" max="4" width="10.5600004196167" hidden="0" customWidth="1"/>
    <x:col min="5" max="5" width="12.220000267028809" hidden="0" customWidth="1"/>
    <x:col min="6" max="6" width="12.220000267028809" hidden="0" customWidth="1"/>
    <x:col min="7" max="7" width="12.220000267028809" hidden="0" customWidth="1"/>
    <x:col min="8" max="8" width="12.220000267028809" hidden="0" customWidth="1"/>
  </x:cols>
  <x:sheetData>
    <x:row r="1" ht="28.5" customHeight="1">
      <x:c r="A1" s="3" t="str">
        <x:v>UX OS ↔ Canix Association Audit</x:v>
      </x:c>
      <x:c r="B1" s="3"/>
      <x:c r="C1" s="3"/>
      <x:c r="D1" s="3"/>
      <x:c r="E1" s="3"/>
      <x:c r="F1" s="3"/>
      <x:c r="G1" s="3"/>
      <x:c r="H1" s="3"/>
    </x:row>
    <x:row r="2" ht="25.5" customHeight="1">
      <x:c r="A2" s="7" t="str">
        <x:v>Policy-aligned readout of field coverage, accepted proxies, remaining gaps, and server-side integration priorities. Detailed evidence is in the other five sheets.</x:v>
      </x:c>
      <x:c r="B2" s="7"/>
      <x:c r="C2" s="7"/>
      <x:c r="D2" s="7"/>
      <x:c r="E2" s="7"/>
      <x:c r="F2" s="7"/>
      <x:c r="G2" s="7"/>
      <x:c r="H2" s="7"/>
    </x:row>
    <x:row r="4">
      <x:c r="A4" s="23" t="str">
        <x:v>TOTAL ASSOCIATIONS</x:v>
      </x:c>
      <x:c r="B4" s="24"/>
      <x:c r="C4" s="24" t="str">
        <x:v>EXACT</x:v>
      </x:c>
      <x:c r="D4" s="24"/>
      <x:c r="E4" s="24" t="str">
        <x:v>PARTIAL / DERIVED / PROXY</x:v>
      </x:c>
      <x:c r="F4" s="24"/>
      <x:c r="G4" s="24" t="str">
        <x:v>GAPS</x:v>
      </x:c>
      <x:c r="H4" s="25"/>
    </x:row>
    <x:row r="5">
      <x:c r="A5" s="39" t="n">
        <x:f>COUNTA('Field Associations'!$C$5:$C$61)</x:f>
        <x:v>57</x:v>
      </x:c>
      <x:c r="B5" s="40"/>
      <x:c r="C5" s="40" t="n">
        <x:f>COUNTIF('Field Associations'!$I$5:$I$61,"Exact")</x:f>
        <x:v>31</x:v>
      </x:c>
      <x:c r="D5" s="40"/>
      <x:c r="E5" s="40" t="n">
        <x:f>COUNTIF('Field Associations'!$I$5:$I$61,"Partial")+COUNTIF('Field Associations'!$I$5:$I$61,"Derived")+COUNTIF('Field Associations'!$I$5:$I$61,"Approved proxy")</x:f>
        <x:v>16</x:v>
      </x:c>
      <x:c r="F5" s="40"/>
      <x:c r="G5" s="40" t="n">
        <x:f>COUNTIF('Field Associations'!$I$5:$I$61,"Gap")</x:f>
        <x:v>10</x:v>
      </x:c>
      <x:c r="H5" s="41"/>
    </x:row>
    <x:row r="6">
      <x:c r="A6" s="42"/>
      <x:c r="B6" s="43"/>
      <x:c r="C6" s="43"/>
      <x:c r="D6" s="43"/>
      <x:c r="E6" s="43"/>
      <x:c r="F6" s="43"/>
      <x:c r="G6" s="43"/>
      <x:c r="H6" s="44"/>
    </x:row>
    <x:row r="8">
      <x:c r="A8" s="49" t="str">
        <x:v>APPROVED POLICY PROXIES</x:v>
      </x:c>
      <x:c r="B8" s="50"/>
      <x:c r="C8" s="50" t="str">
        <x:v>SIMPLIFIED ROWS AUDITED</x:v>
      </x:c>
      <x:c r="D8" s="50"/>
      <x:c r="E8" s="50" t="str">
        <x:v>APPROVED SIMPLIFIED ROWS</x:v>
      </x:c>
      <x:c r="F8" s="50"/>
      <x:c r="G8" s="50" t="str">
        <x:v>REMAINING INCORRECT MAPPINGS</x:v>
      </x:c>
      <x:c r="H8" s="51"/>
    </x:row>
    <x:row r="9">
      <x:c r="A9" s="59" t="n">
        <x:f>COUNTIF('Field Associations'!$I$5:$I$61,"Approved proxy")</x:f>
        <x:v>3</x:v>
      </x:c>
      <x:c r="B9" s="60"/>
      <x:c r="C9" s="60" t="n">
        <x:f>COUNTA('Simplified Audit'!$B$5:$B$27)</x:f>
        <x:v>23</x:v>
      </x:c>
      <x:c r="D9" s="60"/>
      <x:c r="E9" s="60" t="n">
        <x:f>COUNTIF('Simplified Audit'!$G$5:$G$27,"Approved business override")</x:f>
        <x:v>7</x:v>
      </x:c>
      <x:c r="F9" s="60"/>
      <x:c r="G9" s="60" t="n">
        <x:f>COUNTIF('Simplified Audit'!$G$5:$G$27,"Incorrect")+COUNTIF('Simplified Audit'!$G$5:$G$27,"Unverified / incorrect")</x:f>
        <x:v>5</x:v>
      </x:c>
      <x:c r="H9" s="61"/>
    </x:row>
    <x:row r="10">
      <x:c r="A10" s="62"/>
      <x:c r="B10" s="63"/>
      <x:c r="C10" s="63"/>
      <x:c r="D10" s="63"/>
      <x:c r="E10" s="63"/>
      <x:c r="F10" s="63"/>
      <x:c r="G10" s="63"/>
      <x:c r="H10" s="64"/>
    </x:row>
    <x:row r="12">
      <x:c r="A12" s="65" t="str">
        <x:v>Highest-impact audit findings</x:v>
      </x:c>
      <x:c r="B12" s="65"/>
      <x:c r="C12" s="65"/>
      <x:c r="D12" s="65"/>
      <x:c r="E12" s="65"/>
      <x:c r="F12" s="65"/>
      <x:c r="G12" s="65"/>
      <x:c r="H12" s="65"/>
    </x:row>
    <x:row r="13" ht="15" hidden="0" customHeight="1">
      <x:c r="A13" s="11" t="str">
        <x:v>#</x:v>
      </x:c>
      <x:c r="B13" s="11" t="str">
        <x:v>Finding</x:v>
      </x:c>
      <x:c r="C13" s="11" t="str">
        <x:v>Evidence-backed conclusion</x:v>
      </x:c>
      <x:c r="D13" s="11" t="str">
        <x:v>Severity</x:v>
      </x:c>
      <x:c r="E13" s="84" t="str">
        <x:v>Decision rule
Exact means semantically direct. Approved proxy means urbanXtracts deliberately accepts a different Canix concept as an operational alias.
Every approved proxy stays nullable and preserves the original Canix source fields. Blank never becomes zero, Unknown, or a fabricated key.
Reporting visibility proves a read path only. It does not prove a production write path, gate, approval, or compliance control.</x:v>
      </x:c>
      <x:c r="F13" s="85"/>
      <x:c r="G13" s="85"/>
      <x:c r="H13" s="86"/>
    </x:row>
    <x:row r="14" ht="32.400001525878906" hidden="0" customHeight="1">
      <x:c r="A14" s="17" t="str">
        <x:v>1</x:v>
      </x:c>
      <x:c r="B14" s="17" t="str">
        <x:v>Owner uses Brand by policy</x:v>
      </x:c>
      <x:c r="C14" s="17" t="str">
        <x:v>Expose owner_id/name from brand_id/name when present; preserve raw brand fields and allow null.</x:v>
      </x:c>
      <x:c r="D14" s="17" t="str">
        <x:v>DECISION</x:v>
      </x:c>
      <x:c r="E14" s="87"/>
      <x:c r="F14" s="88"/>
      <x:c r="G14" s="88"/>
      <x:c r="H14" s="89"/>
    </x:row>
    <x:row r="15" ht="32.400001525878906" hidden="0" customHeight="1">
      <x:c r="A15" s="18" t="str">
        <x:v>2</x:v>
      </x:c>
      <x:c r="B15" s="18" t="str">
        <x:v>UOM uses free-form Status by policy</x:v>
      </x:c>
      <x:c r="C15" s="18" t="str">
        <x:v>Accept only G_IN, G_OUT, G_DRY, or G_WET; otherwise leave blank. Preserve raw status and use status_category for workflow.</x:v>
      </x:c>
      <x:c r="D15" s="18" t="str">
        <x:v>DECISION</x:v>
      </x:c>
      <x:c r="E15" s="87"/>
      <x:c r="F15" s="88"/>
      <x:c r="G15" s="88"/>
      <x:c r="H15" s="89"/>
    </x:row>
    <x:row r="16" ht="32.400001525878906" hidden="0" customHeight="1">
      <x:c r="A16" s="18" t="str">
        <x:v>3</x:v>
      </x:c>
      <x:c r="B16" s="18" t="str">
        <x:v>Cost Object uses Sales Order Line by policy</x:v>
      </x:c>
      <x:c r="C16" s="18" t="str">
        <x:v>Expose cost_object_id from order_item_id when present; preserve raw order identifiers and allow null.</x:v>
      </x:c>
      <x:c r="D16" s="18" t="str">
        <x:v>DECISION</x:v>
      </x:c>
      <x:c r="E16" s="87"/>
      <x:c r="F16" s="88"/>
      <x:c r="G16" s="88"/>
      <x:c r="H16" s="89"/>
    </x:row>
    <x:row r="17" ht="32.400001525878906" hidden="0" customHeight="1">
      <x:c r="A17" s="18" t="str">
        <x:v>4</x:v>
      </x:c>
      <x:c r="B17" s="18" t="str">
        <x:v>Release and transfer events were conflated</x:v>
      </x:c>
      <x:c r="C17" s="18" t="str">
        <x:v>marked_available_date and packaged_date have precise meanings; neither proves CCO release or transfer.</x:v>
      </x:c>
      <x:c r="D17" s="18" t="str">
        <x:v>HIGH</x:v>
      </x:c>
      <x:c r="E17" s="87"/>
      <x:c r="F17" s="88"/>
      <x:c r="G17" s="88"/>
      <x:c r="H17" s="89"/>
    </x:row>
    <x:row r="18" ht="32.400001525878906" hidden="0" customHeight="1">
      <x:c r="A18" s="18" t="str">
        <x:v>5</x:v>
      </x:c>
      <x:c r="B18" s="18" t="str">
        <x:v>The draft's Canix domain count is outdated</x:v>
      </x:c>
      <x:c r="C18" s="18" t="str">
        <x:v>The current connector exposes five domains: cultivation, inventory, lab_tests, procurement and sales.</x:v>
      </x:c>
      <x:c r="D18" s="18" t="str">
        <x:v>UPDATE</x:v>
      </x:c>
      <x:c r="E18" s="87"/>
      <x:c r="F18" s="88"/>
      <x:c r="G18" s="88"/>
      <x:c r="H18" s="89"/>
    </x:row>
    <x:row r="19" ht="32.400001525878906" hidden="0" customHeight="1">
      <x:c r="A19" s="18" t="str">
        <x:v>6</x:v>
      </x:c>
      <x:c r="B19" s="18" t="str">
        <x:v>The draft's AR conclusion is too broad</x:v>
      </x:c>
      <x:c r="C19" s="18" t="str">
        <x:v>Payment rows and order-balance fields are now visible. Invoice identity, due date, terms and aging remain gaps.</x:v>
      </x:c>
      <x:c r="D19" s="18" t="str">
        <x:v>UPDATE</x:v>
      </x:c>
      <x:c r="E19" s="87"/>
      <x:c r="F19" s="88"/>
      <x:c r="G19" s="88"/>
      <x:c r="H19" s="89"/>
    </x:row>
    <x:row r="20" ht="32.400001525878906" hidden="0" customHeight="1">
      <x:c r="A20" s="18" t="str">
        <x:v>7</x:v>
      </x:c>
      <x:c r="B20" s="18" t="str">
        <x:v>Lineage remains partial</x:v>
      </x:c>
      <x:c r="C20" s="18" t="str">
        <x:v>Harvest-to-package edges are available, but complete package-to-package split/combine genealogy is not in current reporting schemas.</x:v>
      </x:c>
      <x:c r="D20" s="18" t="str">
        <x:v>HIGH</x:v>
      </x:c>
      <x:c r="E20" s="90"/>
      <x:c r="F20" s="91"/>
      <x:c r="G20" s="91"/>
      <x:c r="H20" s="92"/>
    </x:row>
    <x:row r="23">
      <x:c r="A23" s="65" t="str">
        <x:v>Recommended next sequence</x:v>
      </x:c>
      <x:c r="B23" s="65"/>
      <x:c r="C23" s="65"/>
      <x:c r="D23" s="65"/>
      <x:c r="E23" s="65"/>
      <x:c r="F23" s="65"/>
      <x:c r="G23" s="65"/>
      <x:c r="H23" s="65"/>
    </x:row>
    <x:row r="24" ht="25.5" customHeight="1">
      <x:c r="A24" s="109" t="str">
        <x:v>01</x:v>
      </x:c>
      <x:c r="B24" s="100" t="str">
        <x:v>Create a least-privilege Canix integration user and generate its API key under Admin &gt; API.</x:v>
      </x:c>
      <x:c r="C24" s="100"/>
      <x:c r="D24" s="100"/>
      <x:c r="E24" s="100"/>
      <x:c r="F24" s="100"/>
      <x:c r="G24" s="100"/>
      <x:c r="H24" s="100"/>
    </x:row>
    <x:row r="25" ht="25.5" customHeight="1">
      <x:c r="A25" s="110" t="str">
        <x:v>02</x:v>
      </x:c>
      <x:c r="B25" s="101" t="str">
        <x:v>Store the key in server-side secrets and deploy an authenticated inventory sync endpoint; never send X-API-KEY to the browser.</x:v>
      </x:c>
      <x:c r="C25" s="101"/>
      <x:c r="D25" s="101"/>
      <x:c r="E25" s="101"/>
      <x:c r="F25" s="101"/>
      <x:c r="G25" s="101"/>
      <x:c r="H25" s="101"/>
    </x:row>
    <x:row r="26" ht="25.5" customHeight="1">
      <x:c r="A26" s="110" t="str">
        <x:v>03</x:v>
      </x:c>
      <x:c r="B26" s="101" t="str">
        <x:v>Poll and upsert on a controlled cadence, serve the latest successful snapshot, and run a full reconciliation on a slower schedule.</x:v>
      </x:c>
      <x:c r="C26" s="101"/>
      <x:c r="D26" s="101"/>
      <x:c r="E26" s="101"/>
      <x:c r="F26" s="101"/>
      <x:c r="G26" s="101"/>
      <x:c r="H26" s="101"/>
    </x:row>
    <x:row r="27" ht="25.5" customHeight="1">
      <x:c r="A27" s="111" t="str">
        <x:v>04</x:v>
      </x:c>
      <x:c r="B27" s="102" t="str">
        <x:v>Monitor freshness, pagination, failures and schema drift; confirm Canix rate limits before shortening the polling interval.</x:v>
      </x:c>
      <x:c r="C27" s="102"/>
      <x:c r="D27" s="102"/>
      <x:c r="E27" s="102"/>
      <x:c r="F27" s="102"/>
      <x:c r="G27" s="102"/>
      <x:c r="H27" s="102"/>
    </x:row>
  </x:sheetData>
  <x:mergeCells>
    <x:mergeCell ref="A1:H1"/>
    <x:mergeCell ref="A2:H2"/>
    <x:mergeCell ref="A4:B4"/>
    <x:mergeCell ref="C4:D4"/>
    <x:mergeCell ref="E4:F4"/>
    <x:mergeCell ref="G4:H4"/>
    <x:mergeCell ref="A5:B6"/>
    <x:mergeCell ref="C5:D6"/>
    <x:mergeCell ref="E5:F6"/>
    <x:mergeCell ref="G5:H6"/>
    <x:mergeCell ref="A8:B8"/>
    <x:mergeCell ref="C8:D8"/>
    <x:mergeCell ref="E8:F8"/>
    <x:mergeCell ref="G8:H8"/>
    <x:mergeCell ref="A9:B10"/>
    <x:mergeCell ref="C9:D10"/>
    <x:mergeCell ref="E9:F10"/>
    <x:mergeCell ref="G9:H10"/>
    <x:mergeCell ref="A12:H12"/>
    <x:mergeCell ref="E13:H20"/>
    <x:mergeCell ref="A23:H23"/>
    <x:mergeCell ref="B24:H24"/>
    <x:mergeCell ref="B25:H25"/>
    <x:mergeCell ref="B26:H26"/>
    <x:mergeCell ref="B27:H27"/>
  </x:mergeCells>
  <x:conditionalFormatting sqref="D14:D20">
    <x:cfRule type="containsText" dxfId="17" priority="1" operator="containsText" text="CRITICAL"/>
    <x:cfRule type="containsText" dxfId="18" priority="2" operator="containsText" text="HIGH"/>
    <x:cfRule type="containsText" dxfId="19" priority="3" operator="containsText" text="UPDATE"/>
    <x:cfRule type="containsText" dxfId="20" priority="4" operator="containsText" text="DECISIO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12.220000267028809" hidden="0" customWidth="1"/>
    <x:col min="3" max="3" width="17.780000686645508" hidden="0" customWidth="1"/>
    <x:col min="4" max="4" width="28.889999389648438" hidden="0" customWidth="1"/>
    <x:col min="5" max="5" width="13.329999923706055" hidden="0" customWidth="1"/>
    <x:col min="6" max="6" width="14.4399995803833" hidden="0" customWidth="1"/>
    <x:col min="7" max="7" width="22.219999313354492" hidden="0" customWidth="1"/>
    <x:col min="8" max="8" width="31.670000076293945" hidden="0" customWidth="1"/>
    <x:col min="9" max="9" width="9.4399995803833" hidden="0" customWidth="1"/>
    <x:col min="10" max="10" width="17.219999313354492" hidden="0" customWidth="1"/>
    <x:col min="11" max="11" width="16.670000076293945" hidden="0" customWidth="1"/>
    <x:col min="12" max="12" width="28.889999389648438" hidden="0" customWidth="1"/>
    <x:col min="13" max="13" width="28.889999389648438" hidden="0" customWidth="1"/>
    <x:col min="14" max="14" width="28.889999389648438" hidden="0" customWidth="1"/>
  </x:cols>
  <x:sheetData>
    <x:row r="1" ht="28.5" customHeight="1">
      <x:c r="A1" s="3" t="str">
        <x:v>UX OS ↔ Canix Field Associations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5.5" customHeight="1">
      <x:c r="A2" s="7" t="str">
        <x:v>Audited against current Canix reporting schemas and updated with urbanXtracts-approved proxy decisions. Raw Canix fields remain visible and nullable.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>
      <x:c r="A4" s="11" t="str">
        <x:v>Mapping ID</x:v>
      </x:c>
      <x:c r="B4" s="11" t="str">
        <x:v>UX OS domain</x:v>
      </x:c>
      <x:c r="C4" s="11" t="str">
        <x:v>UX OS canonical field</x:v>
      </x:c>
      <x:c r="D4" s="11" t="str">
        <x:v>Definition / intent</x:v>
      </x:c>
      <x:c r="E4" s="11" t="str">
        <x:v>Operational scope</x:v>
      </x:c>
      <x:c r="F4" s="11" t="str">
        <x:v>Canix domain</x:v>
      </x:c>
      <x:c r="G4" s="11" t="str">
        <x:v>Canix table</x:v>
      </x:c>
      <x:c r="H4" s="11" t="str">
        <x:v>Current Canix field(s)</x:v>
      </x:c>
      <x:c r="I4" s="11" t="str">
        <x:v>Association</x:v>
      </x:c>
      <x:c r="J4" s="11" t="str">
        <x:v>Confidence</x:v>
      </x:c>
      <x:c r="K4" s="11" t="str">
        <x:v>Read / write reality</x:v>
      </x:c>
      <x:c r="L4" s="11" t="str">
        <x:v>Portal / OS handling</x:v>
      </x:c>
      <x:c r="M4" s="11" t="str">
        <x:v>Audit finding</x:v>
      </x:c>
      <x:c r="N4" s="11" t="str">
        <x:v>Risk / decision</x:v>
      </x:c>
    </x:row>
    <x:row r="5" ht="43.20000076293945" hidden="0" customHeight="1">
      <x:c r="A5" s="17" t="str">
        <x:v>FND-01</x:v>
      </x:c>
      <x:c r="B5" s="17" t="str">
        <x:v>Foundation</x:v>
      </x:c>
      <x:c r="C5" s="17" t="str">
        <x:v>cost_object_id</x:v>
      </x:c>
      <x:c r="D5" s="17" t="str">
        <x:v>UX OS cost object used for grouping and reconciliation.</x:v>
      </x:c>
      <x:c r="E5" s="17" t="str">
        <x:v>All licenses</x:v>
      </x:c>
      <x:c r="F5" s="17" t="str">
        <x:v>inventory / sales</x:v>
      </x:c>
      <x:c r="G5" s="17" t="str">
        <x:v>package_inventory_facts_current; sales_order_item_facts</x:v>
      </x:c>
      <x:c r="H5" s="17" t="str">
        <x:v>order_item_id</x:v>
      </x:c>
      <x:c r="I5" s="17" t="str">
        <x:v>Approved proxy</x:v>
      </x:c>
      <x:c r="J5" s="17" t="str">
        <x:v>User-approved policy override</x:v>
      </x:c>
      <x:c r="K5" s="17" t="str">
        <x:v>Read-only reporting; nullable</x:v>
      </x:c>
      <x:c r="L5" s="17" t="str">
        <x:v>Set cost_object_id = order_item_id when present; otherwise leave blank. Preserve sales_order_id and order_item_id as raw Canix fields.</x:v>
      </x:c>
      <x:c r="M5" s="17" t="str">
        <x:v>A sales order line is not a semantic cost object, but urbanXtracts approved this alias for portal use.</x:v>
      </x:c>
      <x:c r="N5" s="17" t="str">
        <x:v>Internal or non-order work will have a blank cost object; consumers must accept null.</x:v>
      </x:c>
    </x:row>
    <x:row r="6" ht="64.80000305175781" hidden="0" customHeight="1">
      <x:c r="A6" s="18" t="str">
        <x:v>FND-02</x:v>
      </x:c>
      <x:c r="B6" s="18" t="str">
        <x:v>Foundation</x:v>
      </x:c>
      <x:c r="C6" s="18" t="str">
        <x:v>uom_code</x:v>
      </x:c>
      <x:c r="D6" s="18" t="str">
        <x:v>UX OS unit/basis code restricted to G_IN, G_OUT, G_DRY, or G_WET.</x:v>
      </x:c>
      <x:c r="E6" s="18" t="str">
        <x:v>All licenses</x:v>
      </x:c>
      <x:c r="F6" s="18" t="str">
        <x:v>inventory</x:v>
      </x:c>
      <x:c r="G6" s="18" t="str">
        <x:v>package_inventory_facts_current</x:v>
      </x:c>
      <x:c r="H6" s="18" t="str">
        <x:v>status</x:v>
      </x:c>
      <x:c r="I6" s="18" t="str">
        <x:v>Approved proxy</x:v>
      </x:c>
      <x:c r="J6" s="18" t="str">
        <x:v>User-approved policy override</x:v>
      </x:c>
      <x:c r="K6" s="18" t="str">
        <x:v>Read-only reporting; nullable</x:v>
      </x:c>
      <x:c r="L6" s="18" t="str">
        <x:v>Trim and uppercase status. Accept only G_IN, G_OUT, G_DRY, or G_WET; otherwise leave uom_code blank. Preserve raw status and use status_category for workflow filtering. Continue to separate WeightBased grams from CountBased units; never measure volume.</x:v>
      </x:c>
      <x:c r="M6" s="18" t="str">
        <x:v>urbanXtracts approved the free-form Canix status field as the UX OS UOM carrier.</x:v>
      </x:c>
      <x:c r="N6" s="18" t="str">
        <x:v>A mistyped or workflow-style status becomes blank UOM and should be flagged for cleanup, never guessed.</x:v>
      </x:c>
    </x:row>
    <x:row r="7" ht="32.400001525878906" hidden="0" customHeight="1">
      <x:c r="A7" s="18" t="str">
        <x:v>FND-03</x:v>
      </x:c>
      <x:c r="B7" s="18" t="str">
        <x:v>Foundation</x:v>
      </x:c>
      <x:c r="C7" s="18" t="str">
        <x:v>owner_id + owner_name</x:v>
      </x:c>
      <x:c r="D7" s="18" t="str">
        <x:v>UX OS owner alias used for portal grouping and visibility.</x:v>
      </x:c>
      <x:c r="E7" s="18" t="str">
        <x:v>All licenses</x:v>
      </x:c>
      <x:c r="F7" s="18" t="str">
        <x:v>inventory</x:v>
      </x:c>
      <x:c r="G7" s="18" t="str">
        <x:v>package_inventory_facts_current</x:v>
      </x:c>
      <x:c r="H7" s="18" t="str">
        <x:v>brand_id; brand_name</x:v>
      </x:c>
      <x:c r="I7" s="18" t="str">
        <x:v>Approved proxy</x:v>
      </x:c>
      <x:c r="J7" s="18" t="str">
        <x:v>User-approved policy override</x:v>
      </x:c>
      <x:c r="K7" s="18" t="str">
        <x:v>Read-only reporting; nullable</x:v>
      </x:c>
      <x:c r="L7" s="18" t="str">
        <x:v>Set owner_id/name from brand_id/name when present; otherwise leave blank. Preserve the raw brand fields alongside the UX OS aliases.</x:v>
      </x:c>
      <x:c r="M7" s="18" t="str">
        <x:v>Brand is not economic ownership, but urbanXtracts approved Brand as the operational Owner proxy.</x:v>
      </x:c>
      <x:c r="N7" s="18" t="str">
        <x:v>This proxy must not be presented as legal title or used to infer toll/split settlement without another rule.</x:v>
      </x:c>
    </x:row>
    <x:row r="8" ht="32.400001525878906" hidden="0" customHeight="1">
      <x:c r="A8" s="18" t="str">
        <x:v>FND-04</x:v>
      </x:c>
      <x:c r="B8" s="18" t="str">
        <x:v>Foundation</x:v>
      </x:c>
      <x:c r="C8" s="18" t="str">
        <x:v>labor record</x:v>
      </x:c>
      <x:c r="D8" s="18" t="str">
        <x:v>Task-level employee, classification, hours, output, cost object, verification and closeout.</x:v>
      </x:c>
      <x:c r="E8" s="18" t="str">
        <x:v>Cultivation / Processing</x:v>
      </x:c>
      <x:c r="F8" s="18" t="str">
        <x:v>cultivation / inventory</x:v>
      </x:c>
      <x:c r="G8" s="18" t="str">
        <x:v>harvest_cost_facts_current; package_inventory_facts_current</x:v>
      </x:c>
      <x:c r="H8" s="18" t="str">
        <x:v>current_labor_cogs_cents</x:v>
      </x:c>
      <x:c r="I8" s="18" t="str">
        <x:v>Partial</x:v>
      </x:c>
      <x:c r="J8" s="18" t="str">
        <x:v>Verified schema</x:v>
      </x:c>
      <x:c r="K8" s="18" t="str">
        <x:v>Read only reporting</x:v>
      </x:c>
      <x:c r="L8" s="18" t="str">
        <x:v>Use the cost measure only as a monetary result; retain labor-record workflow outside Canix until a carrier is validated.</x:v>
      </x:c>
      <x:c r="M8" s="18" t="str">
        <x:v>Canix exposes transferred labor cost, not the underlying labor record, task, hours, employee, or approval.</x:v>
      </x:c>
      <x:c r="N8" s="18" t="str">
        <x:v>Cost is not auditable to operational labor evidence from the reporting mirror alone.</x:v>
      </x:c>
    </x:row>
    <x:row r="9" ht="32.400001525878906" hidden="0" customHeight="1">
      <x:c r="A9" s="18" t="str">
        <x:v>FND-05</x:v>
      </x:c>
      <x:c r="B9" s="18" t="str">
        <x:v>Foundation</x:v>
      </x:c>
      <x:c r="C9" s="18" t="str">
        <x:v>potency_tier</x:v>
      </x:c>
      <x:c r="D9" s="18" t="str">
        <x:v>Versioned UX OS classification derived from QA evidence.</x:v>
      </x:c>
      <x:c r="E9" s="18" t="str">
        <x:v>Processing / Distribution</x:v>
      </x:c>
      <x:c r="F9" s="18" t="str">
        <x:v>lab_tests / inventory</x:v>
      </x:c>
      <x:c r="G9" s="18" t="str">
        <x:v>lab_test_facts; package_inventory_facts_current</x:v>
      </x:c>
      <x:c r="H9" s="18" t="str">
        <x:v>total_thc_percent and related cannabinoid measures; test status/date</x:v>
      </x:c>
      <x:c r="I9" s="18" t="str">
        <x:v>Derived</x:v>
      </x:c>
      <x:c r="J9" s="18" t="str">
        <x:v>Derived from verified schema</x:v>
      </x:c>
      <x:c r="K9" s="18" t="str">
        <x:v>Read only reporting</x:v>
      </x:c>
      <x:c r="L9" s="18" t="str">
        <x:v>Calculate a tier only from an approved UX OS rule; store the tier and rule version outside the raw Canix result.</x:v>
      </x:c>
      <x:c r="M9" s="18" t="str">
        <x:v>Lab results are exact measures, not a stored potency tier.</x:v>
      </x:c>
      <x:c r="N9" s="18" t="str">
        <x:v>Unversioned tier rules create inconsistent classification.</x:v>
      </x:c>
    </x:row>
    <x:row r="10" ht="32.400001525878906" hidden="0" customHeight="1">
      <x:c r="A10" s="18" t="str">
        <x:v>FND-06</x:v>
      </x:c>
      <x:c r="B10" s="18" t="str">
        <x:v>Foundation</x:v>
      </x:c>
      <x:c r="C10" s="18" t="str">
        <x:v>grading_tier</x:v>
      </x:c>
      <x:c r="D10" s="18" t="str">
        <x:v>Controlled operational grade used by UX OS.</x:v>
      </x:c>
      <x:c r="E10" s="18" t="str">
        <x:v>Cultivation / Processing</x:v>
      </x:c>
      <x:c r="F10" s="18" t="str">
        <x:v>cultivation / inventory</x:v>
      </x:c>
      <x:c r="G10" s="18" t="str">
        <x:v>harvest_package_facts_current; package_inventory_facts_current</x:v>
      </x:c>
      <x:c r="H10" s="18" t="str">
        <x:v>item_sub_category_name</x:v>
      </x:c>
      <x:c r="I10" s="18" t="str">
        <x:v>Partial</x:v>
      </x:c>
      <x:c r="J10" s="18" t="str">
        <x:v>Verified schema with material data-quality caveat</x:v>
      </x:c>
      <x:c r="K10" s="18" t="str">
        <x:v>Read only reporting</x:v>
      </x:c>
      <x:c r="L10" s="18" t="str">
        <x:v>Treat Sub Type as a source label, not a canonical grade. Normalize only through an approved crosswalk.</x:v>
      </x:c>
      <x:c r="M10" s="18" t="str">
        <x:v>Sub Type is facility-specific, sparse, and mixes grades, product types, pack formats, and scratch values.</x:v>
      </x:c>
      <x:c r="N10" s="18" t="str">
        <x:v>Direct use creates false comparability between facilities.</x:v>
      </x:c>
    </x:row>
    <x:row r="11" ht="32.400001525878906" hidden="0" customHeight="1">
      <x:c r="A11" s="18" t="str">
        <x:v>FND-07</x:v>
      </x:c>
      <x:c r="B11" s="18" t="str">
        <x:v>Foundation</x:v>
      </x:c>
      <x:c r="C11" s="18" t="str">
        <x:v>order_source</x:v>
      </x:c>
      <x:c r="D11" s="18" t="str">
        <x:v>Immutable origin such as REP, PORTAL, OFFICE, SAMPLE or TRANSFER.</x:v>
      </x:c>
      <x:c r="E11" s="18" t="str">
        <x:v>Processing / Distribution</x:v>
      </x:c>
      <x:c r="F11" s="18" t="str">
        <x:v>—</x:v>
      </x:c>
      <x:c r="G11" s="18" t="str">
        <x:v>—</x:v>
      </x:c>
      <x:c r="H11" s="18" t="str">
        <x:v>No reporting column identified</x:v>
      </x:c>
      <x:c r="I11" s="18" t="str">
        <x:v>Gap</x:v>
      </x:c>
      <x:c r="J11" s="18" t="str">
        <x:v>Verified absence in current schemas</x:v>
      </x:c>
      <x:c r="K11" s="18" t="str">
        <x:v>Read only; no carrier</x:v>
      </x:c>
      <x:c r="L11" s="18" t="str">
        <x:v>Capture at order birth in a governed field; sales_order_id is only order identity.</x:v>
      </x:c>
      <x:c r="M11" s="18" t="str">
        <x:v>The simplified workbook maps Order Source to Sales Order. That does not identify channel/origin.</x:v>
      </x:c>
      <x:c r="N11" s="18" t="str">
        <x:v>Commission and routing logic cannot rely on a missing source field.</x:v>
      </x:c>
    </x:row>
    <x:row r="12" ht="32.400001525878906" hidden="0" customHeight="1">
      <x:c r="A12" s="18" t="str">
        <x:v>PTY-01</x:v>
      </x:c>
      <x:c r="B12" s="18" t="str">
        <x:v>Party master</x:v>
      </x:c>
      <x:c r="C12" s="18" t="str">
        <x:v>account_owner</x:v>
      </x:c>
      <x:c r="D12" s="18" t="str">
        <x:v>Store-level responsible rep used for routing.</x:v>
      </x:c>
      <x:c r="E12" s="18" t="str">
        <x:v>Distribution / Sales</x:v>
      </x:c>
      <x:c r="F12" s="18" t="str">
        <x:v>sales</x:v>
      </x:c>
      <x:c r="G12" s="18" t="str">
        <x:v>sales_order_item_facts</x:v>
      </x:c>
      <x:c r="H12" s="18" t="str">
        <x:v>sales_rep_id; sales_rep_name</x:v>
      </x:c>
      <x:c r="I12" s="18" t="str">
        <x:v>Partial</x:v>
      </x:c>
      <x:c r="J12" s="18" t="str">
        <x:v>Verified schema</x:v>
      </x:c>
      <x:c r="K12" s="18" t="str">
        <x:v>Read only reporting</x:v>
      </x:c>
      <x:c r="L12" s="18" t="str">
        <x:v>Use sales_rep only as order-level evidence. A governed customer-level account_owner still needs a home and cleanup rule.</x:v>
      </x:c>
      <x:c r="M12" s="18" t="str">
        <x:v>The reporting field is nullable and order-level; it is not a store-master owner.</x:v>
      </x:c>
      <x:c r="N12" s="18" t="str">
        <x:v>Wrong or blank reps misroute collections and customer actions.</x:v>
      </x:c>
    </x:row>
    <x:row r="13" ht="32.400001525878906" hidden="0" customHeight="1">
      <x:c r="A13" s="18" t="str">
        <x:v>PTY-02</x:v>
      </x:c>
      <x:c r="B13" s="18" t="str">
        <x:v>Party master</x:v>
      </x:c>
      <x:c r="C13" s="18" t="str">
        <x:v>employee_master</x:v>
      </x:c>
      <x:c r="D13" s="18" t="str">
        <x:v>Governed employee identity for labor and agent routing.</x:v>
      </x:c>
      <x:c r="E13" s="18" t="str">
        <x:v>All licenses</x:v>
      </x:c>
      <x:c r="F13" s="18" t="str">
        <x:v>—</x:v>
      </x:c>
      <x:c r="G13" s="18" t="str">
        <x:v>—</x:v>
      </x:c>
      <x:c r="H13" s="18" t="str">
        <x:v>No employee-master reporting domain or carrier identified</x:v>
      </x:c>
      <x:c r="I13" s="18" t="str">
        <x:v>Gap</x:v>
      </x:c>
      <x:c r="J13" s="18" t="str">
        <x:v>Verified absence in current schemas</x:v>
      </x:c>
      <x:c r="K13" s="18" t="str">
        <x:v>No carrier</x:v>
      </x:c>
      <x:c r="L13" s="18" t="str">
        <x:v>Keep in HR / governed master and map identifiers when Canix capability exists.</x:v>
      </x:c>
      <x:c r="M13" s="18" t="str">
        <x:v>Current schemas expose user names such as sales_rep or submitted_by, not a governed employee master.</x:v>
      </x:c>
      <x:c r="N13" s="18" t="str">
        <x:v>Blocks labor attribution and stable person-level routing.</x:v>
      </x:c>
    </x:row>
    <x:row r="14" ht="21.600000381469727" hidden="0" customHeight="1">
      <x:c r="A14" s="18" t="str">
        <x:v>PTY-03</x:v>
      </x:c>
      <x:c r="B14" s="18" t="str">
        <x:v>Party master</x:v>
      </x:c>
      <x:c r="C14" s="18" t="str">
        <x:v>credit_limit</x:v>
      </x:c>
      <x:c r="D14" s="18" t="str">
        <x:v>Approved customer credit ceiling, if the business elects to use one.</x:v>
      </x:c>
      <x:c r="E14" s="18" t="str">
        <x:v>Distribution / Sales</x:v>
      </x:c>
      <x:c r="F14" s="18" t="str">
        <x:v>—</x:v>
      </x:c>
      <x:c r="G14" s="18" t="str">
        <x:v>—</x:v>
      </x:c>
      <x:c r="H14" s="18" t="str">
        <x:v>No reporting carrier identified</x:v>
      </x:c>
      <x:c r="I14" s="18" t="str">
        <x:v>Gap</x:v>
      </x:c>
      <x:c r="J14" s="18" t="str">
        <x:v>Verified absence in current schemas</x:v>
      </x:c>
      <x:c r="K14" s="18" t="str">
        <x:v>No carrier</x:v>
      </x:c>
      <x:c r="L14" s="18" t="str">
        <x:v>Business decision first; then choose a system of record and order-entry enforcement.</x:v>
      </x:c>
      <x:c r="M14" s="18" t="str">
        <x:v>No current Canix reporting field establishes a customer credit limit.</x:v>
      </x:c>
      <x:c r="N14" s="18" t="str">
        <x:v>A guessed limit would be unsafe for order gating.</x:v>
      </x:c>
    </x:row>
    <x:row r="15" ht="32.400001525878906" hidden="0" customHeight="1">
      <x:c r="A15" s="18" t="str">
        <x:v>INV-01</x:v>
      </x:c>
      <x:c r="B15" s="18" t="str">
        <x:v>Inventory</x:v>
      </x:c>
      <x:c r="C15" s="18" t="str">
        <x:v>package_id</x:v>
      </x:c>
      <x:c r="D15" s="18" t="str">
        <x:v>Unique Canix package identity.</x:v>
      </x:c>
      <x:c r="E15" s="18" t="str">
        <x:v>All licenses</x:v>
      </x:c>
      <x:c r="F15" s="18" t="str">
        <x:v>inventory</x:v>
      </x:c>
      <x:c r="G15" s="18" t="str">
        <x:v>package_inventory_facts_current</x:v>
      </x:c>
      <x:c r="H15" s="18" t="str">
        <x:v>package_id</x:v>
      </x:c>
      <x:c r="I15" s="18" t="str">
        <x:v>Exact</x:v>
      </x:c>
      <x:c r="J15" s="18" t="str">
        <x:v>Verified schema</x:v>
      </x:c>
      <x:c r="K15" s="18" t="str">
        <x:v>Read only reporting</x:v>
      </x:c>
      <x:c r="L15" s="18" t="str">
        <x:v>Primary row identity for the package workbench.</x:v>
      </x:c>
      <x:c r="M15" s="18" t="str">
        <x:v>The simplified label Package is directionally correct but should resolve to the explicit identifier and package-grain view.</x:v>
      </x:c>
      <x:c r="N15" s="18" t="str">
        <x:v>Low risk when package_id remains the key.</x:v>
      </x:c>
    </x:row>
    <x:row r="16" ht="21.600000381469727" hidden="0" customHeight="1">
      <x:c r="A16" s="18" t="str">
        <x:v>INV-02</x:v>
      </x:c>
      <x:c r="B16" s="18" t="str">
        <x:v>Inventory</x:v>
      </x:c>
      <x:c r="C16" s="18" t="str">
        <x:v>compliance_tag</x:v>
      </x:c>
      <x:c r="D16" s="18" t="str">
        <x:v>Compliance tag used for package lookup and traceability.</x:v>
      </x:c>
      <x:c r="E16" s="18" t="str">
        <x:v>All licenses</x:v>
      </x:c>
      <x:c r="F16" s="18" t="str">
        <x:v>inventory</x:v>
      </x:c>
      <x:c r="G16" s="18" t="str">
        <x:v>package_inventory_facts_current</x:v>
      </x:c>
      <x:c r="H16" s="18" t="str">
        <x:v>tag</x:v>
      </x:c>
      <x:c r="I16" s="18" t="str">
        <x:v>Exact</x:v>
      </x:c>
      <x:c r="J16" s="18" t="str">
        <x:v>Verified schema</x:v>
      </x:c>
      <x:c r="K16" s="18" t="str">
        <x:v>Read only reporting</x:v>
      </x:c>
      <x:c r="L16" s="18" t="str">
        <x:v>Display and search as an identifier; do not treat it as economic ownership.</x:v>
      </x:c>
      <x:c r="M16" s="18" t="str">
        <x:v>Direct association.</x:v>
      </x:c>
      <x:c r="N16" s="18" t="str">
        <x:v>Low risk.</x:v>
      </x:c>
    </x:row>
    <x:row r="17" ht="32.400001525878906" hidden="0" customHeight="1">
      <x:c r="A17" s="18" t="str">
        <x:v>INV-03</x:v>
      </x:c>
      <x:c r="B17" s="18" t="str">
        <x:v>Inventory</x:v>
      </x:c>
      <x:c r="C17" s="18" t="str">
        <x:v>item / SKU / product</x:v>
      </x:c>
      <x:c r="D17" s="18" t="str">
        <x:v>Product hierarchy attached to the package.</x:v>
      </x:c>
      <x:c r="E17" s="18" t="str">
        <x:v>All licenses</x:v>
      </x:c>
      <x:c r="F17" s="18" t="str">
        <x:v>inventory</x:v>
      </x:c>
      <x:c r="G17" s="18" t="str">
        <x:v>package_inventory_facts_current</x:v>
      </x:c>
      <x:c r="H17" s="18" t="str">
        <x:v>item_id; item_name; sku; product_id; product_name; item_category_name; item_sub_category_name</x:v>
      </x:c>
      <x:c r="I17" s="18" t="str">
        <x:v>Exact</x:v>
      </x:c>
      <x:c r="J17" s="18" t="str">
        <x:v>Verified schema</x:v>
      </x:c>
      <x:c r="K17" s="18" t="str">
        <x:v>Read only reporting</x:v>
      </x:c>
      <x:c r="L17" s="18" t="str">
        <x:v>Use identifiers for joins and names for display.</x:v>
      </x:c>
      <x:c r="M17" s="18" t="str">
        <x:v>Direct association at package grain.</x:v>
      </x:c>
      <x:c r="N17" s="18" t="str">
        <x:v>Names can change; identifiers should anchor integrations.</x:v>
      </x:c>
    </x:row>
    <x:row r="18" ht="43.20000076293945" hidden="0" customHeight="1">
      <x:c r="A18" s="18" t="str">
        <x:v>INV-04</x:v>
      </x:c>
      <x:c r="B18" s="18" t="str">
        <x:v>Inventory</x:v>
      </x:c>
      <x:c r="C18" s="18" t="str">
        <x:v>brand identity</x:v>
      </x:c>
      <x:c r="D18" s="18" t="str">
        <x:v>Commercial brand attached to package or item.</x:v>
      </x:c>
      <x:c r="E18" s="18" t="str">
        <x:v>All licenses</x:v>
      </x:c>
      <x:c r="F18" s="18" t="str">
        <x:v>inventory</x:v>
      </x:c>
      <x:c r="G18" s="18" t="str">
        <x:v>package_inventory_facts_current</x:v>
      </x:c>
      <x:c r="H18" s="18" t="str">
        <x:v>brand_id; brand_name</x:v>
      </x:c>
      <x:c r="I18" s="18" t="str">
        <x:v>Exact</x:v>
      </x:c>
      <x:c r="J18" s="18" t="str">
        <x:v>Verified schema</x:v>
      </x:c>
      <x:c r="K18" s="18" t="str">
        <x:v>Read only reporting</x:v>
      </x:c>
      <x:c r="L18" s="18" t="str">
        <x:v>Keep brand_id/name as raw brand fields. The portal may also expose them through nullable owner_id/name aliases under the approved policy.</x:v>
      </x:c>
      <x:c r="M18" s="18" t="str">
        <x:v>Direct brand association; the separate Owner alias is an approved business proxy.</x:v>
      </x:c>
      <x:c r="N18" s="18" t="str">
        <x:v>Do not describe the proxy as legal or economic ownership.</x:v>
      </x:c>
    </x:row>
    <x:row r="19" ht="21.600000381469727" hidden="0" customHeight="1">
      <x:c r="A19" s="18" t="str">
        <x:v>INV-05</x:v>
      </x:c>
      <x:c r="B19" s="18" t="str">
        <x:v>Inventory</x:v>
      </x:c>
      <x:c r="C19" s="18" t="str">
        <x:v>strain identity</x:v>
      </x:c>
      <x:c r="D19" s="18" t="str">
        <x:v>Strain attached to the package item.</x:v>
      </x:c>
      <x:c r="E19" s="18" t="str">
        <x:v>Cultivation / Processing</x:v>
      </x:c>
      <x:c r="F19" s="18" t="str">
        <x:v>inventory</x:v>
      </x:c>
      <x:c r="G19" s="18" t="str">
        <x:v>package_inventory_facts_current</x:v>
      </x:c>
      <x:c r="H19" s="18" t="str">
        <x:v>strain_id; strain_name; strain_type</x:v>
      </x:c>
      <x:c r="I19" s="18" t="str">
        <x:v>Exact</x:v>
      </x:c>
      <x:c r="J19" s="18" t="str">
        <x:v>Verified schema</x:v>
      </x:c>
      <x:c r="K19" s="18" t="str">
        <x:v>Read only reporting</x:v>
      </x:c>
      <x:c r="L19" s="18" t="str">
        <x:v>Use identifier for joins and type/name for display.</x:v>
      </x:c>
      <x:c r="M19" s="18" t="str">
        <x:v>Direct association.</x:v>
      </x:c>
      <x:c r="N19" s="18" t="str">
        <x:v>Low risk.</x:v>
      </x:c>
    </x:row>
    <x:row r="20" ht="32.400001525878906" hidden="0" customHeight="1">
      <x:c r="A20" s="18" t="str">
        <x:v>INV-06</x:v>
      </x:c>
      <x:c r="B20" s="18" t="str">
        <x:v>Inventory</x:v>
      </x:c>
      <x:c r="C20" s="18" t="str">
        <x:v>on_hand_quantity</x:v>
      </x:c>
      <x:c r="D20" s="18" t="str">
        <x:v>Current package quantity without combining unlike measures.</x:v>
      </x:c>
      <x:c r="E20" s="18" t="str">
        <x:v>All licenses</x:v>
      </x:c>
      <x:c r="F20" s="18" t="str">
        <x:v>inventory</x:v>
      </x:c>
      <x:c r="G20" s="18" t="str">
        <x:v>package_inventory_facts_current</x:v>
      </x:c>
      <x:c r="H20" s="18" t="str">
        <x:v>quantity_type; weight; weight_unit_name; c_weight_g</x:v>
      </x:c>
      <x:c r="I20" s="18" t="str">
        <x:v>Exact</x:v>
      </x:c>
      <x:c r="J20" s="18" t="str">
        <x:v>Verified schema</x:v>
      </x:c>
      <x:c r="K20" s="18" t="str">
        <x:v>Read only reporting</x:v>
      </x:c>
      <x:c r="L20" s="18" t="str">
        <x:v>WeightBased → c_weight_g; CountBased → weight as unit count. The portal intentionally excludes other measurement modes.</x:v>
      </x:c>
      <x:c r="M20" s="18" t="str">
        <x:v>Exact for the two approved portal quantity types when separated.</x:v>
      </x:c>
      <x:c r="N20" s="18" t="str">
        <x:v>Never sum grams and units into one total.</x:v>
      </x:c>
    </x:row>
    <x:row r="21" ht="43.20000076293945" hidden="0" customHeight="1">
      <x:c r="A21" s="18" t="str">
        <x:v>INV-07</x:v>
      </x:c>
      <x:c r="B21" s="18" t="str">
        <x:v>Inventory</x:v>
      </x:c>
      <x:c r="C21" s="18" t="str">
        <x:v>inventory_status</x:v>
      </x:c>
      <x:c r="D21" s="18" t="str">
        <x:v>Operational package display status and normalized behavior.</x:v>
      </x:c>
      <x:c r="E21" s="18" t="str">
        <x:v>All licenses</x:v>
      </x:c>
      <x:c r="F21" s="18" t="str">
        <x:v>inventory</x:v>
      </x:c>
      <x:c r="G21" s="18" t="str">
        <x:v>package_inventory_facts_current</x:v>
      </x:c>
      <x:c r="H21" s="18" t="str">
        <x:v>status; status_category; is_active</x:v>
      </x:c>
      <x:c r="I21" s="18" t="str">
        <x:v>Exact</x:v>
      </x:c>
      <x:c r="J21" s="18" t="str">
        <x:v>Verified schema</x:v>
      </x:c>
      <x:c r="K21" s="18" t="str">
        <x:v>Read only reporting</x:v>
      </x:c>
      <x:c r="L21" s="18" t="str">
        <x:v>Use status_category and is_active for workflow filtering. Preserve raw status; separately map it to uom_code only when it equals an approved UOM code.</x:v>
      </x:c>
      <x:c r="M21" s="18" t="str">
        <x:v>The raw status field is retained even though urbanXtracts also approved it as the UOM carrier.</x:v>
      </x:c>
      <x:c r="N21" s="18" t="str">
        <x:v>If one value cannot satisfy both uses, workflow behavior follows status_category and UOM remains blank unless allow-listed.</x:v>
      </x:c>
    </x:row>
    <x:row r="22" ht="21.600000381469727" hidden="0" customHeight="1">
      <x:c r="A22" s="18" t="str">
        <x:v>INV-08</x:v>
      </x:c>
      <x:c r="B22" s="18" t="str">
        <x:v>Inventory</x:v>
      </x:c>
      <x:c r="C22" s="18" t="str">
        <x:v>facility_location</x:v>
      </x:c>
      <x:c r="D22" s="18" t="str">
        <x:v>Facility identity and license for the package.</x:v>
      </x:c>
      <x:c r="E22" s="18" t="str">
        <x:v>All licenses</x:v>
      </x:c>
      <x:c r="F22" s="18" t="str">
        <x:v>inventory</x:v>
      </x:c>
      <x:c r="G22" s="18" t="str">
        <x:v>package_inventory_facts_current</x:v>
      </x:c>
      <x:c r="H22" s="18" t="str">
        <x:v>facility_id; facility_name; facility_license; facility_state</x:v>
      </x:c>
      <x:c r="I22" s="18" t="str">
        <x:v>Exact</x:v>
      </x:c>
      <x:c r="J22" s="18" t="str">
        <x:v>Verified schema</x:v>
      </x:c>
      <x:c r="K22" s="18" t="str">
        <x:v>Read only reporting</x:v>
      </x:c>
      <x:c r="L22" s="18" t="str">
        <x:v>Use facility_id as the canonical join and license/name for display.</x:v>
      </x:c>
      <x:c r="M22" s="18" t="str">
        <x:v>Direct association.</x:v>
      </x:c>
      <x:c r="N22" s="18" t="str">
        <x:v>Low risk.</x:v>
      </x:c>
    </x:row>
    <x:row r="23" ht="21.600000381469727" hidden="0" customHeight="1">
      <x:c r="A23" s="18" t="str">
        <x:v>INV-09</x:v>
      </x:c>
      <x:c r="B23" s="18" t="str">
        <x:v>Inventory</x:v>
      </x:c>
      <x:c r="C23" s="18" t="str">
        <x:v>room_location</x:v>
      </x:c>
      <x:c r="D23" s="18" t="str">
        <x:v>Room assignment within a facility.</x:v>
      </x:c>
      <x:c r="E23" s="18" t="str">
        <x:v>All licenses</x:v>
      </x:c>
      <x:c r="F23" s="18" t="str">
        <x:v>inventory</x:v>
      </x:c>
      <x:c r="G23" s="18" t="str">
        <x:v>package_inventory_facts_current</x:v>
      </x:c>
      <x:c r="H23" s="18" t="str">
        <x:v>room_id; room_name</x:v>
      </x:c>
      <x:c r="I23" s="18" t="str">
        <x:v>Exact</x:v>
      </x:c>
      <x:c r="J23" s="18" t="str">
        <x:v>Verified schema</x:v>
      </x:c>
      <x:c r="K23" s="18" t="str">
        <x:v>Read only reporting</x:v>
      </x:c>
      <x:c r="L23" s="18" t="str">
        <x:v>Treat blank room as unassigned, not as a named location.</x:v>
      </x:c>
      <x:c r="M23" s="18" t="str">
        <x:v>Direct association.</x:v>
      </x:c>
      <x:c r="N23" s="18" t="str">
        <x:v>Low risk.</x:v>
      </x:c>
    </x:row>
    <x:row r="24" ht="32.400001525878906" hidden="0" customHeight="1">
      <x:c r="A24" s="18" t="str">
        <x:v>INV-10</x:v>
      </x:c>
      <x:c r="B24" s="18" t="str">
        <x:v>Inventory</x:v>
      </x:c>
      <x:c r="C24" s="18" t="str">
        <x:v>allocation</x:v>
      </x:c>
      <x:c r="D24" s="18" t="str">
        <x:v>Package reservation to an order line and order.</x:v>
      </x:c>
      <x:c r="E24" s="18" t="str">
        <x:v>Processing / Distribution</x:v>
      </x:c>
      <x:c r="F24" s="18" t="str">
        <x:v>inventory</x:v>
      </x:c>
      <x:c r="G24" s="18" t="str">
        <x:v>package_inventory_facts_current</x:v>
      </x:c>
      <x:c r="H24" s="18" t="str">
        <x:v>order_item_id; sales_order_id; sales_order_name; sales_order_status; sales_order_delivery_date; customer_id</x:v>
      </x:c>
      <x:c r="I24" s="18" t="str">
        <x:v>Exact</x:v>
      </x:c>
      <x:c r="J24" s="18" t="str">
        <x:v>Verified schema</x:v>
      </x:c>
      <x:c r="K24" s="18" t="str">
        <x:v>Read only reporting</x:v>
      </x:c>
      <x:c r="L24" s="18" t="str">
        <x:v>Use for allocation context only; do not reuse as cost_object_id.</x:v>
      </x:c>
      <x:c r="M24" s="18" t="str">
        <x:v>Direct allocation association.</x:v>
      </x:c>
      <x:c r="N24" s="18" t="str">
        <x:v>Allocated order context does not cover internal production work.</x:v>
      </x:c>
    </x:row>
    <x:row r="25" ht="15" hidden="0" customHeight="1">
      <x:c r="A25" s="18" t="str">
        <x:v>INV-11</x:v>
      </x:c>
      <x:c r="B25" s="18" t="str">
        <x:v>Inventory</x:v>
      </x:c>
      <x:c r="C25" s="18" t="str">
        <x:v>packaged_date</x:v>
      </x:c>
      <x:c r="D25" s="18" t="str">
        <x:v>Date the package record was created.</x:v>
      </x:c>
      <x:c r="E25" s="18" t="str">
        <x:v>All licenses</x:v>
      </x:c>
      <x:c r="F25" s="18" t="str">
        <x:v>inventory</x:v>
      </x:c>
      <x:c r="G25" s="18" t="str">
        <x:v>package_inventory_facts_current</x:v>
      </x:c>
      <x:c r="H25" s="18" t="str">
        <x:v>packaged_date</x:v>
      </x:c>
      <x:c r="I25" s="18" t="str">
        <x:v>Exact</x:v>
      </x:c>
      <x:c r="J25" s="18" t="str">
        <x:v>Verified schema</x:v>
      </x:c>
      <x:c r="K25" s="18" t="str">
        <x:v>Read only reporting</x:v>
      </x:c>
      <x:c r="L25" s="18" t="str">
        <x:v>Label explicitly as package creation date.</x:v>
      </x:c>
      <x:c r="M25" s="18" t="str">
        <x:v>Direct association only for package creation.</x:v>
      </x:c>
      <x:c r="N25" s="18" t="str">
        <x:v>It is not a transfer or release timestamp.</x:v>
      </x:c>
    </x:row>
    <x:row r="26" ht="21.600000381469727" hidden="0" customHeight="1">
      <x:c r="A26" s="18" t="str">
        <x:v>INV-12</x:v>
      </x:c>
      <x:c r="B26" s="18" t="str">
        <x:v>Inventory</x:v>
      </x:c>
      <x:c r="C26" s="18" t="str">
        <x:v>expiration / use-by</x:v>
      </x:c>
      <x:c r="D26" s="18" t="str">
        <x:v>Package expiry and use-by controls.</x:v>
      </x:c>
      <x:c r="E26" s="18" t="str">
        <x:v>Processing / Distribution</x:v>
      </x:c>
      <x:c r="F26" s="18" t="str">
        <x:v>inventory</x:v>
      </x:c>
      <x:c r="G26" s="18" t="str">
        <x:v>package_inventory_facts_current</x:v>
      </x:c>
      <x:c r="H26" s="18" t="str">
        <x:v>expiration_date; use_by_date</x:v>
      </x:c>
      <x:c r="I26" s="18" t="str">
        <x:v>Exact</x:v>
      </x:c>
      <x:c r="J26" s="18" t="str">
        <x:v>Verified schema</x:v>
      </x:c>
      <x:c r="K26" s="18" t="str">
        <x:v>Read only reporting</x:v>
      </x:c>
      <x:c r="L26" s="18" t="str">
        <x:v>Keep both dates distinct and preserve null as not recorded.</x:v>
      </x:c>
      <x:c r="M26" s="18" t="str">
        <x:v>Direct association.</x:v>
      </x:c>
      <x:c r="N26" s="18" t="str">
        <x:v>Missing dates limit expiry controls.</x:v>
      </x:c>
    </x:row>
    <x:row r="27" ht="21.600000381469727" hidden="0" customHeight="1">
      <x:c r="A27" s="18" t="str">
        <x:v>INV-13</x:v>
      </x:c>
      <x:c r="B27" s="18" t="str">
        <x:v>Inventory</x:v>
      </x:c>
      <x:c r="C27" s="18" t="str">
        <x:v>inventory_age</x:v>
      </x:c>
      <x:c r="D27" s="18" t="str">
        <x:v>Real-time days since package creation.</x:v>
      </x:c>
      <x:c r="E27" s="18" t="str">
        <x:v>All licenses</x:v>
      </x:c>
      <x:c r="F27" s="18" t="str">
        <x:v>inventory</x:v>
      </x:c>
      <x:c r="G27" s="18" t="str">
        <x:v>package_inventory_facts_current</x:v>
      </x:c>
      <x:c r="H27" s="18" t="str">
        <x:v>dateDiff('day', packaged_date, today())</x:v>
      </x:c>
      <x:c r="I27" s="18" t="str">
        <x:v>Derived</x:v>
      </x:c>
      <x:c r="J27" s="18" t="str">
        <x:v>Derived from verified schema</x:v>
      </x:c>
      <x:c r="K27" s="18" t="str">
        <x:v>Read only reporting</x:v>
      </x:c>
      <x:c r="L27" s="18" t="str">
        <x:v>Compute at query or portal time; do not rely on stale days_since_packaged.</x:v>
      </x:c>
      <x:c r="M27" s="18" t="str">
        <x:v>The stored days_since_packaged is update-time metadata, not a live clock.</x:v>
      </x:c>
      <x:c r="N27" s="18" t="str">
        <x:v>Using the stored value can understate age.</x:v>
      </x:c>
    </x:row>
    <x:row r="28" ht="21.600000381469727" hidden="0" customHeight="1">
      <x:c r="A28" s="18" t="str">
        <x:v>INV-14</x:v>
      </x:c>
      <x:c r="B28" s="18" t="str">
        <x:v>Compliance</x:v>
      </x:c>
      <x:c r="C28" s="18" t="str">
        <x:v>compliance_submission_state</x:v>
      </x:c>
      <x:c r="D28" s="18" t="str">
        <x:v>Whether package was submitted to the state compliance system.</x:v>
      </x:c>
      <x:c r="E28" s="18" t="str">
        <x:v>All licenses</x:v>
      </x:c>
      <x:c r="F28" s="18" t="str">
        <x:v>inventory</x:v>
      </x:c>
      <x:c r="G28" s="18" t="str">
        <x:v>package_inventory_facts_current</x:v>
      </x:c>
      <x:c r="H28" s="18" t="str">
        <x:v>compliance_submitted</x:v>
      </x:c>
      <x:c r="I28" s="18" t="str">
        <x:v>Exact</x:v>
      </x:c>
      <x:c r="J28" s="18" t="str">
        <x:v>Verified schema</x:v>
      </x:c>
      <x:c r="K28" s="18" t="str">
        <x:v>Read only reporting</x:v>
      </x:c>
      <x:c r="L28" s="18" t="str">
        <x:v>Use as a source signal for integrity exceptions.</x:v>
      </x:c>
      <x:c r="M28" s="18" t="str">
        <x:v>Direct association.</x:v>
      </x:c>
      <x:c r="N28" s="18" t="str">
        <x:v>Submission does not alone prove release.</x:v>
      </x:c>
    </x:row>
    <x:row r="29" ht="21.600000381469727" hidden="0" customHeight="1">
      <x:c r="A29" s="18" t="str">
        <x:v>INV-15</x:v>
      </x:c>
      <x:c r="B29" s="18" t="str">
        <x:v>Quality</x:v>
      </x:c>
      <x:c r="C29" s="18" t="str">
        <x:v>package_lab_state</x:v>
      </x:c>
      <x:c r="D29" s="18" t="str">
        <x:v>Package compliance testing state and linked-result state.</x:v>
      </x:c>
      <x:c r="E29" s="18" t="str">
        <x:v>All licenses</x:v>
      </x:c>
      <x:c r="F29" s="18" t="str">
        <x:v>inventory</x:v>
      </x:c>
      <x:c r="G29" s="18" t="str">
        <x:v>package_inventory_facts_current</x:v>
      </x:c>
      <x:c r="H29" s="18" t="str">
        <x:v>lab_test_status; test_result_status; test_result_source; test_result_date</x:v>
      </x:c>
      <x:c r="I29" s="18" t="str">
        <x:v>Exact</x:v>
      </x:c>
      <x:c r="J29" s="18" t="str">
        <x:v>Verified schema</x:v>
      </x:c>
      <x:c r="K29" s="18" t="str">
        <x:v>Read only reporting</x:v>
      </x:c>
      <x:c r="L29" s="18" t="str">
        <x:v>Keep package state and linked result status separate.</x:v>
      </x:c>
      <x:c r="M29" s="18" t="str">
        <x:v>Direct association with two distinct semantics.</x:v>
      </x:c>
      <x:c r="N29" s="18" t="str">
        <x:v>Conflating them can misstate release.</x:v>
      </x:c>
    </x:row>
    <x:row r="30" ht="32.400001525878906" hidden="0" customHeight="1">
      <x:c r="A30" s="18" t="str">
        <x:v>INV-16</x:v>
      </x:c>
      <x:c r="B30" s="18" t="str">
        <x:v>Quality</x:v>
      </x:c>
      <x:c r="C30" s="18" t="str">
        <x:v>COA reference</x:v>
      </x:c>
      <x:c r="D30" s="18" t="str">
        <x:v>Displayed test-result identity and document presence.</x:v>
      </x:c>
      <x:c r="E30" s="18" t="str">
        <x:v>All licenses</x:v>
      </x:c>
      <x:c r="F30" s="18" t="str">
        <x:v>inventory / lab_tests</x:v>
      </x:c>
      <x:c r="G30" s="18" t="str">
        <x:v>package_inventory_facts_current; lab_test_facts</x:v>
      </x:c>
      <x:c r="H30" s="18" t="str">
        <x:v>test_result_collection_id; tested_package_tag; has_coa</x:v>
      </x:c>
      <x:c r="I30" s="18" t="str">
        <x:v>Exact</x:v>
      </x:c>
      <x:c r="J30" s="18" t="str">
        <x:v>Verified schema</x:v>
      </x:c>
      <x:c r="K30" s="18" t="str">
        <x:v>Read only reporting</x:v>
      </x:c>
      <x:c r="L30" s="18" t="str">
        <x:v>Resolve per-package display from inventory; use lab_tests for per-test statistics.</x:v>
      </x:c>
      <x:c r="M30" s="18" t="str">
        <x:v>Canix exposes the result identity and COA-presence flag, not the UX OS versioned document workflow.</x:v>
      </x:c>
      <x:c r="N30" s="18" t="str">
        <x:v>One result may be displayed by many packages.</x:v>
      </x:c>
    </x:row>
    <x:row r="31" ht="21.600000381469727" hidden="0" customHeight="1">
      <x:c r="A31" s="18" t="str">
        <x:v>INV-17</x:v>
      </x:c>
      <x:c r="B31" s="18" t="str">
        <x:v>Quality</x:v>
      </x:c>
      <x:c r="C31" s="18" t="str">
        <x:v>potency_measures</x:v>
      </x:c>
      <x:c r="D31" s="18" t="str">
        <x:v>Reported cannabinoid and terpene measures.</x:v>
      </x:c>
      <x:c r="E31" s="18" t="str">
        <x:v>Processing / Distribution</x:v>
      </x:c>
      <x:c r="F31" s="18" t="str">
        <x:v>inventory / lab_tests</x:v>
      </x:c>
      <x:c r="G31" s="18" t="str">
        <x:v>package_inventory_facts_current; lab_test_facts</x:v>
      </x:c>
      <x:c r="H31" s="18" t="str">
        <x:v>total_thc_percent; total_cbd_percent; other cannabinoid fields; total_terpenes_percent</x:v>
      </x:c>
      <x:c r="I31" s="18" t="str">
        <x:v>Exact</x:v>
      </x:c>
      <x:c r="J31" s="18" t="str">
        <x:v>Verified schema</x:v>
      </x:c>
      <x:c r="K31" s="18" t="str">
        <x:v>Read only reporting</x:v>
      </x:c>
      <x:c r="L31" s="18" t="str">
        <x:v>Use inventory for package display and lab_tests for per-result analysis.</x:v>
      </x:c>
      <x:c r="M31" s="18" t="str">
        <x:v>Direct measures; do not interpret or tier without an approved rule.</x:v>
      </x:c>
      <x:c r="N31" s="18" t="str">
        <x:v>Sparse measures and duplicated displayed results can bias package-grain rates.</x:v>
      </x:c>
    </x:row>
    <x:row r="32" ht="32.400001525878906" hidden="0" customHeight="1">
      <x:c r="A32" s="18" t="str">
        <x:v>INV-18</x:v>
      </x:c>
      <x:c r="B32" s="18" t="str">
        <x:v>Cost</x:v>
      </x:c>
      <x:c r="C32" s="18" t="str">
        <x:v>package_cost_snapshot</x:v>
      </x:c>
      <x:c r="D32" s="18" t="str">
        <x:v>Current package cannabis, NCI, labor and total standard cost.</x:v>
      </x:c>
      <x:c r="E32" s="18" t="str">
        <x:v>Cultivation / Processing</x:v>
      </x:c>
      <x:c r="F32" s="18" t="str">
        <x:v>inventory</x:v>
      </x:c>
      <x:c r="G32" s="18" t="str">
        <x:v>package_inventory_facts_current</x:v>
      </x:c>
      <x:c r="H32" s="18" t="str">
        <x:v>current_cannabis_cogs_cents; current_nci_cogs_cents; current_labor_cogs_cents; total_standard_cost_cents</x:v>
      </x:c>
      <x:c r="I32" s="18" t="str">
        <x:v>Exact</x:v>
      </x:c>
      <x:c r="J32" s="18" t="str">
        <x:v>Verified schema</x:v>
      </x:c>
      <x:c r="K32" s="18" t="str">
        <x:v>Read only reporting; internal only</x:v>
      </x:c>
      <x:c r="L32" s="18" t="str">
        <x:v>Restrict to internal roles and state that values are current snapshots.</x:v>
      </x:c>
      <x:c r="M32" s="18" t="str">
        <x:v>Direct cost association at package grain.</x:v>
      </x:c>
      <x:c r="N32" s="18" t="str">
        <x:v>Not a substitute for approved ledger treatment or economic ownership.</x:v>
      </x:c>
    </x:row>
    <x:row r="33" ht="21.600000381469727" hidden="0" customHeight="1">
      <x:c r="A33" s="18" t="str">
        <x:v>LIN-01</x:v>
      </x:c>
      <x:c r="B33" s="18" t="str">
        <x:v>Lineage</x:v>
      </x:c>
      <x:c r="C33" s="18" t="str">
        <x:v>lot_id</x:v>
      </x:c>
      <x:c r="D33" s="18" t="str">
        <x:v>Operator-assigned lot identity on package/harvest.</x:v>
      </x:c>
      <x:c r="E33" s="18" t="str">
        <x:v>Cultivation / Processing</x:v>
      </x:c>
      <x:c r="F33" s="18" t="str">
        <x:v>inventory / cultivation</x:v>
      </x:c>
      <x:c r="G33" s="18" t="str">
        <x:v>package_inventory_facts_current; harvest_facts_current</x:v>
      </x:c>
      <x:c r="H33" s="18" t="str">
        <x:v>lot_id</x:v>
      </x:c>
      <x:c r="I33" s="18" t="str">
        <x:v>Partial</x:v>
      </x:c>
      <x:c r="J33" s="18" t="str">
        <x:v>Verified schema</x:v>
      </x:c>
      <x:c r="K33" s="18" t="str">
        <x:v>Read only reporting</x:v>
      </x:c>
      <x:c r="L33" s="18" t="str">
        <x:v>Use when present, but never as the only lineage key.</x:v>
      </x:c>
      <x:c r="M33" s="18" t="str">
        <x:v>Harvest lot_id is rare and integration-skewed; package lot_id is optional.</x:v>
      </x:c>
      <x:c r="N33" s="18" t="str">
        <x:v>Null values and inconsistent operator use break complete traceability.</x:v>
      </x:c>
    </x:row>
    <x:row r="34" ht="21.600000381469727" hidden="0" customHeight="1">
      <x:c r="A34" s="18" t="str">
        <x:v>LIN-02</x:v>
      </x:c>
      <x:c r="B34" s="18" t="str">
        <x:v>Lineage</x:v>
      </x:c>
      <x:c r="C34" s="18" t="str">
        <x:v>production_batch_number</x:v>
      </x:c>
      <x:c r="D34" s="18" t="str">
        <x:v>Production batch label on a package.</x:v>
      </x:c>
      <x:c r="E34" s="18" t="str">
        <x:v>Processing</x:v>
      </x:c>
      <x:c r="F34" s="18" t="str">
        <x:v>inventory</x:v>
      </x:c>
      <x:c r="G34" s="18" t="str">
        <x:v>package_inventory_facts_current</x:v>
      </x:c>
      <x:c r="H34" s="18" t="str">
        <x:v>production_batch_number</x:v>
      </x:c>
      <x:c r="I34" s="18" t="str">
        <x:v>Partial</x:v>
      </x:c>
      <x:c r="J34" s="18" t="str">
        <x:v>Verified schema</x:v>
      </x:c>
      <x:c r="K34" s="18" t="str">
        <x:v>Read only reporting</x:v>
      </x:c>
      <x:c r="L34" s="18" t="str">
        <x:v>Use as a batch attribute, not a complete parent-child trace.</x:v>
      </x:c>
      <x:c r="M34" s="18" t="str">
        <x:v>Direct field exists, but it does not capture every source package or split/combine event.</x:v>
      </x:c>
      <x:c r="N34" s="18" t="str">
        <x:v>Incomplete genealogy if used alone.</x:v>
      </x:c>
    </x:row>
    <x:row r="35" ht="32.400001525878906" hidden="0" customHeight="1">
      <x:c r="A35" s="18" t="str">
        <x:v>LIN-03</x:v>
      </x:c>
      <x:c r="B35" s="18" t="str">
        <x:v>Lineage</x:v>
      </x:c>
      <x:c r="C35" s="18" t="str">
        <x:v>harvest_to_package_link</x:v>
      </x:c>
      <x:c r="D35" s="18" t="str">
        <x:v>Trace from harvest output into destination package.</x:v>
      </x:c>
      <x:c r="E35" s="18" t="str">
        <x:v>Cultivation</x:v>
      </x:c>
      <x:c r="F35" s="18" t="str">
        <x:v>cultivation</x:v>
      </x:c>
      <x:c r="G35" s="18" t="str">
        <x:v>harvest_package_facts_current</x:v>
      </x:c>
      <x:c r="H35" s="18" t="str">
        <x:v>harvest_package_id; harvest_id; destination_package_id; package_tag; harvest_weight_g</x:v>
      </x:c>
      <x:c r="I35" s="18" t="str">
        <x:v>Exact</x:v>
      </x:c>
      <x:c r="J35" s="18" t="str">
        <x:v>Verified schema</x:v>
      </x:c>
      <x:c r="K35" s="18" t="str">
        <x:v>Read only reporting</x:v>
      </x:c>
      <x:c r="L35" s="18" t="str">
        <x:v>Join harvest_id to harvest and destination_package_id to inventory.</x:v>
      </x:c>
      <x:c r="M35" s="18" t="str">
        <x:v>Direct link for harvest-to-package transfers.</x:v>
      </x:c>
      <x:c r="N35" s="18" t="str">
        <x:v>Later package-to-package genealogy is not exposed here.</x:v>
      </x:c>
    </x:row>
    <x:row r="36" ht="21.600000381469727" hidden="0" customHeight="1">
      <x:c r="A36" s="18" t="str">
        <x:v>LIN-04</x:v>
      </x:c>
      <x:c r="B36" s="18" t="str">
        <x:v>Lineage</x:v>
      </x:c>
      <x:c r="C36" s="18" t="str">
        <x:v>parent package / split-combine graph</x:v>
      </x:c>
      <x:c r="D36" s="18" t="str">
        <x:v>Complete genealogy through every transformation.</x:v>
      </x:c>
      <x:c r="E36" s="18" t="str">
        <x:v>Processing</x:v>
      </x:c>
      <x:c r="F36" s="18" t="str">
        <x:v>—</x:v>
      </x:c>
      <x:c r="G36" s="18" t="str">
        <x:v>—</x:v>
      </x:c>
      <x:c r="H36" s="18" t="str">
        <x:v>No parent-package field or full transformation edge table in current reporting schemas</x:v>
      </x:c>
      <x:c r="I36" s="18" t="str">
        <x:v>Gap</x:v>
      </x:c>
      <x:c r="J36" s="18" t="str">
        <x:v>Verified absence in current schemas</x:v>
      </x:c>
      <x:c r="K36" s="18" t="str">
        <x:v>No carrier</x:v>
      </x:c>
      <x:c r="L36" s="18" t="str">
        <x:v>Require a separate Canix traceability read or new reporting endpoint.</x:v>
      </x:c>
      <x:c r="M36" s="18" t="str">
        <x:v>lot_id and production_batch_number are not substitutes for transformation edges.</x:v>
      </x:c>
      <x:c r="N36" s="18" t="str">
        <x:v>Recall and yield attribution remain incomplete.</x:v>
      </x:c>
    </x:row>
    <x:row r="37" ht="32.400001525878906" hidden="0" customHeight="1">
      <x:c r="A37" s="18" t="str">
        <x:v>CUL-01</x:v>
      </x:c>
      <x:c r="B37" s="18" t="str">
        <x:v>Cultivation</x:v>
      </x:c>
      <x:c r="C37" s="18" t="str">
        <x:v>harvest identity and state</x:v>
      </x:c>
      <x:c r="D37" s="18" t="str">
        <x:v>Harvest key, dates, active state and integration context.</x:v>
      </x:c>
      <x:c r="E37" s="18" t="str">
        <x:v>Cultivation</x:v>
      </x:c>
      <x:c r="F37" s="18" t="str">
        <x:v>cultivation</x:v>
      </x:c>
      <x:c r="G37" s="18" t="str">
        <x:v>harvest_facts_current</x:v>
      </x:c>
      <x:c r="H37" s="18" t="str">
        <x:v>harvest_id; harvest_name; harvest_date; finished_date; is_active; compliance_submitted; facility_integration; current_state</x:v>
      </x:c>
      <x:c r="I37" s="18" t="str">
        <x:v>Partial</x:v>
      </x:c>
      <x:c r="J37" s="18" t="str">
        <x:v>Verified schema</x:v>
      </x:c>
      <x:c r="K37" s="18" t="str">
        <x:v>Read only reporting</x:v>
      </x:c>
      <x:c r="L37" s="18" t="str">
        <x:v>Always evaluate facility_integration before using current_state.</x:v>
      </x:c>
      <x:c r="M37" s="18" t="str">
        <x:v>current_state is BioTrack V2-centric and unsuitable as a universal growth-phase field.</x:v>
      </x:c>
      <x:c r="N37" s="18" t="str">
        <x:v>Cross-integration filtering can silently omit Metrc/standalone harvests.</x:v>
      </x:c>
    </x:row>
    <x:row r="38" ht="32.400001525878906" hidden="0" customHeight="1">
      <x:c r="A38" s="18" t="str">
        <x:v>CUL-02</x:v>
      </x:c>
      <x:c r="B38" s="18" t="str">
        <x:v>Cultivation</x:v>
      </x:c>
      <x:c r="C38" s="18" t="str">
        <x:v>harvest labor cost</x:v>
      </x:c>
      <x:c r="D38" s="18" t="str">
        <x:v>Labor cost transferred onto a harvest.</x:v>
      </x:c>
      <x:c r="E38" s="18" t="str">
        <x:v>Cultivation</x:v>
      </x:c>
      <x:c r="F38" s="18" t="str">
        <x:v>cultivation</x:v>
      </x:c>
      <x:c r="G38" s="18" t="str">
        <x:v>harvest_cost_facts_current</x:v>
      </x:c>
      <x:c r="H38" s="18" t="str">
        <x:v>current_labor_cogs_cents</x:v>
      </x:c>
      <x:c r="I38" s="18" t="str">
        <x:v>Exact</x:v>
      </x:c>
      <x:c r="J38" s="18" t="str">
        <x:v>Verified schema</x:v>
      </x:c>
      <x:c r="K38" s="18" t="str">
        <x:v>Read only reporting</x:v>
      </x:c>
      <x:c r="L38" s="18" t="str">
        <x:v>Use as a monetary result only; disclose population coverage by integration.</x:v>
      </x:c>
      <x:c r="M38" s="18" t="str">
        <x:v>The simplified workbook is directionally correct but names an action rather than the reporting field.</x:v>
      </x:c>
      <x:c r="N38" s="18" t="str">
        <x:v>Costing is opt-in and sparsely populated outside standalone facilities.</x:v>
      </x:c>
    </x:row>
    <x:row r="39" ht="21.600000381469727" hidden="0" customHeight="1">
      <x:c r="A39" s="18" t="str">
        <x:v>CUL-03</x:v>
      </x:c>
      <x:c r="B39" s="18" t="str">
        <x:v>Cultivation</x:v>
      </x:c>
      <x:c r="C39" s="18" t="str">
        <x:v>harvest non-cannabis cost</x:v>
      </x:c>
      <x:c r="D39" s="18" t="str">
        <x:v>NCI cost transferred onto a harvest.</x:v>
      </x:c>
      <x:c r="E39" s="18" t="str">
        <x:v>Cultivation</x:v>
      </x:c>
      <x:c r="F39" s="18" t="str">
        <x:v>cultivation</x:v>
      </x:c>
      <x:c r="G39" s="18" t="str">
        <x:v>harvest_facts_current; harvest_cost_facts_current</x:v>
      </x:c>
      <x:c r="H39" s="18" t="str">
        <x:v>current_nci_cogs_cents</x:v>
      </x:c>
      <x:c r="I39" s="18" t="str">
        <x:v>Exact</x:v>
      </x:c>
      <x:c r="J39" s="18" t="str">
        <x:v>Verified schema</x:v>
      </x:c>
      <x:c r="K39" s="18" t="str">
        <x:v>Read only reporting</x:v>
      </x:c>
      <x:c r="L39" s="18" t="str">
        <x:v>Use as a monetary result; disclose population coverage.</x:v>
      </x:c>
      <x:c r="M39" s="18" t="str">
        <x:v>Direct reporting measure.</x:v>
      </x:c>
      <x:c r="N39" s="18" t="str">
        <x:v>Not a complete cost of production.</x:v>
      </x:c>
    </x:row>
    <x:row r="40" ht="21.600000381469727" hidden="0" customHeight="1">
      <x:c r="A40" s="18" t="str">
        <x:v>EVT-01</x:v>
      </x:c>
      <x:c r="B40" s="18" t="str">
        <x:v>Release</x:v>
      </x:c>
      <x:c r="C40" s="18" t="str">
        <x:v>lab_result_release_time</x:v>
      </x:c>
      <x:c r="D40" s="18" t="str">
        <x:v>Time the compliance system released a lab result.</x:v>
      </x:c>
      <x:c r="E40" s="18" t="str">
        <x:v>Processing / Distribution</x:v>
      </x:c>
      <x:c r="F40" s="18" t="str">
        <x:v>lab_tests</x:v>
      </x:c>
      <x:c r="G40" s="18" t="str">
        <x:v>lab_test_facts</x:v>
      </x:c>
      <x:c r="H40" s="18" t="str">
        <x:v>release_time</x:v>
      </x:c>
      <x:c r="I40" s="18" t="str">
        <x:v>Exact</x:v>
      </x:c>
      <x:c r="J40" s="18" t="str">
        <x:v>Verified schema</x:v>
      </x:c>
      <x:c r="K40" s="18" t="str">
        <x:v>Read only reporting</x:v>
      </x:c>
      <x:c r="L40" s="18" t="str">
        <x:v>Label as lab-result release, not CCO/package release.</x:v>
      </x:c>
      <x:c r="M40" s="18" t="str">
        <x:v>Direct association to the lab result event.</x:v>
      </x:c>
      <x:c r="N40" s="18" t="str">
        <x:v>Different from operational release approval.</x:v>
      </x:c>
    </x:row>
    <x:row r="41" ht="21.600000381469727" hidden="0" customHeight="1">
      <x:c r="A41" s="18" t="str">
        <x:v>EVT-02</x:v>
      </x:c>
      <x:c r="B41" s="18" t="str">
        <x:v>Release</x:v>
      </x:c>
      <x:c r="C41" s="18" t="str">
        <x:v>package_available_date</x:v>
      </x:c>
      <x:c r="D41" s="18" t="str">
        <x:v>Time the package was marked available to sell.</x:v>
      </x:c>
      <x:c r="E41" s="18" t="str">
        <x:v>Processing / Distribution</x:v>
      </x:c>
      <x:c r="F41" s="18" t="str">
        <x:v>inventory</x:v>
      </x:c>
      <x:c r="G41" s="18" t="str">
        <x:v>package_inventory_facts_current</x:v>
      </x:c>
      <x:c r="H41" s="18" t="str">
        <x:v>marked_available_date; marked_available</x:v>
      </x:c>
      <x:c r="I41" s="18" t="str">
        <x:v>Partial</x:v>
      </x:c>
      <x:c r="J41" s="18" t="str">
        <x:v>Verified schema</x:v>
      </x:c>
      <x:c r="K41" s="18" t="str">
        <x:v>Read only reporting</x:v>
      </x:c>
      <x:c r="L41" s="18" t="str">
        <x:v>Label as marked available; do not present as authoritative QA/compliance release.</x:v>
      </x:c>
      <x:c r="M41" s="18" t="str">
        <x:v>The simplified Release Date mapping is only a proxy.</x:v>
      </x:c>
      <x:c r="N41" s="18" t="str">
        <x:v>Operational marking may diverge from policy approval.</x:v>
      </x:c>
    </x:row>
    <x:row r="42" ht="32.400001525878906" hidden="0" customHeight="1">
      <x:c r="A42" s="18" t="str">
        <x:v>EVT-03</x:v>
      </x:c>
      <x:c r="B42" s="18" t="str">
        <x:v>Transfer</x:v>
      </x:c>
      <x:c r="C42" s="18" t="str">
        <x:v>transfer_date</x:v>
      </x:c>
      <x:c r="D42" s="18" t="str">
        <x:v>Actual custody/facility transfer event timestamp.</x:v>
      </x:c>
      <x:c r="E42" s="18" t="str">
        <x:v>Cultivation / Processing / Distribution</x:v>
      </x:c>
      <x:c r="F42" s="18" t="str">
        <x:v>—</x:v>
      </x:c>
      <x:c r="G42" s="18" t="str">
        <x:v>—</x:v>
      </x:c>
      <x:c r="H42" s="18" t="str">
        <x:v>No transfer-event timestamp identified in current reporting schemas</x:v>
      </x:c>
      <x:c r="I42" s="18" t="str">
        <x:v>Gap</x:v>
      </x:c>
      <x:c r="J42" s="18" t="str">
        <x:v>Verified absence in current schemas</x:v>
      </x:c>
      <x:c r="K42" s="18" t="str">
        <x:v>No carrier</x:v>
      </x:c>
      <x:c r="L42" s="18" t="str">
        <x:v>Do not substitute packaged_date, created_at, or updated_at.</x:v>
      </x:c>
      <x:c r="M42" s="18" t="str">
        <x:v>The simplified workbook maps Transfer Date to Packaged Date; that is incorrect.</x:v>
      </x:c>
      <x:c r="N42" s="18" t="str">
        <x:v>Custody timelines cannot be reconstructed reliably from package creation.</x:v>
      </x:c>
    </x:row>
    <x:row r="43" ht="21.600000381469727" hidden="0" customHeight="1">
      <x:c r="A43" s="18" t="str">
        <x:v>ORD-01</x:v>
      </x:c>
      <x:c r="B43" s="18" t="str">
        <x:v>Store order</x:v>
      </x:c>
      <x:c r="C43" s="18" t="str">
        <x:v>sales order and line identity</x:v>
      </x:c>
      <x:c r="D43" s="18" t="str">
        <x:v>Order and line keys.</x:v>
      </x:c>
      <x:c r="E43" s="18" t="str">
        <x:v>Distribution / Sales</x:v>
      </x:c>
      <x:c r="F43" s="18" t="str">
        <x:v>sales</x:v>
      </x:c>
      <x:c r="G43" s="18" t="str">
        <x:v>sales_order_item_facts</x:v>
      </x:c>
      <x:c r="H43" s="18" t="str">
        <x:v>sales_order_id; order_item_id</x:v>
      </x:c>
      <x:c r="I43" s="18" t="str">
        <x:v>Exact</x:v>
      </x:c>
      <x:c r="J43" s="18" t="str">
        <x:v>Verified schema</x:v>
      </x:c>
      <x:c r="K43" s="18" t="str">
        <x:v>Read only reporting</x:v>
      </x:c>
      <x:c r="L43" s="18" t="str">
        <x:v>Use sales_order_id for order grain and order_item_id for line grain.</x:v>
      </x:c>
      <x:c r="M43" s="18" t="str">
        <x:v>Direct association.</x:v>
      </x:c>
      <x:c r="N43" s="18" t="str">
        <x:v>Counting rows without DISTINCT overstates order count.</x:v>
      </x:c>
    </x:row>
    <x:row r="44" ht="32.400001525878906" hidden="0" customHeight="1">
      <x:c r="A44" s="18" t="str">
        <x:v>ORD-02</x:v>
      </x:c>
      <x:c r="B44" s="18" t="str">
        <x:v>Store order</x:v>
      </x:c>
      <x:c r="C44" s="18" t="str">
        <x:v>customer / store identity</x:v>
      </x:c>
      <x:c r="D44" s="18" t="str">
        <x:v>Customer identity stamped on an order.</x:v>
      </x:c>
      <x:c r="E44" s="18" t="str">
        <x:v>Distribution / Sales</x:v>
      </x:c>
      <x:c r="F44" s="18" t="str">
        <x:v>sales</x:v>
      </x:c>
      <x:c r="G44" s="18" t="str">
        <x:v>sales_order_item_facts</x:v>
      </x:c>
      <x:c r="H44" s="18" t="str">
        <x:v>customer_id; customer_name; customer_license_number; customer_state; customer_type</x:v>
      </x:c>
      <x:c r="I44" s="18" t="str">
        <x:v>Exact</x:v>
      </x:c>
      <x:c r="J44" s="18" t="str">
        <x:v>Verified schema</x:v>
      </x:c>
      <x:c r="K44" s="18" t="str">
        <x:v>Read only reporting</x:v>
      </x:c>
      <x:c r="L44" s="18" t="str">
        <x:v>Use customer_id as join; license/name for display and compliance context.</x:v>
      </x:c>
      <x:c r="M44" s="18" t="str">
        <x:v>Direct order-level customer association.</x:v>
      </x:c>
      <x:c r="N44" s="18" t="str">
        <x:v>No license-expiry field is exposed.</x:v>
      </x:c>
    </x:row>
    <x:row r="45" ht="21.600000381469727" hidden="0" customHeight="1">
      <x:c r="A45" s="18" t="str">
        <x:v>ORD-03</x:v>
      </x:c>
      <x:c r="B45" s="18" t="str">
        <x:v>Store order</x:v>
      </x:c>
      <x:c r="C45" s="18" t="str">
        <x:v>sales_rep</x:v>
      </x:c>
      <x:c r="D45" s="18" t="str">
        <x:v>Rep attached to an order.</x:v>
      </x:c>
      <x:c r="E45" s="18" t="str">
        <x:v>Distribution / Sales</x:v>
      </x:c>
      <x:c r="F45" s="18" t="str">
        <x:v>sales</x:v>
      </x:c>
      <x:c r="G45" s="18" t="str">
        <x:v>sales_order_item_facts</x:v>
      </x:c>
      <x:c r="H45" s="18" t="str">
        <x:v>sales_rep_id; sales_rep_name</x:v>
      </x:c>
      <x:c r="I45" s="18" t="str">
        <x:v>Exact</x:v>
      </x:c>
      <x:c r="J45" s="18" t="str">
        <x:v>Verified schema</x:v>
      </x:c>
      <x:c r="K45" s="18" t="str">
        <x:v>Read only reporting</x:v>
      </x:c>
      <x:c r="L45" s="18" t="str">
        <x:v>Use for order attribution; do not promote to store owner without a governed derivation.</x:v>
      </x:c>
      <x:c r="M45" s="18" t="str">
        <x:v>Exact at order grain, partial for account_owner.</x:v>
      </x:c>
      <x:c r="N45" s="18" t="str">
        <x:v>Null/dirty values require cleanup.</x:v>
      </x:c>
    </x:row>
    <x:row r="46" ht="32.400001525878906" hidden="0" customHeight="1">
      <x:c r="A46" s="18" t="str">
        <x:v>ORD-04</x:v>
      </x:c>
      <x:c r="B46" s="18" t="str">
        <x:v>Store order</x:v>
      </x:c>
      <x:c r="C46" s="18" t="str">
        <x:v>ordered items</x:v>
      </x:c>
      <x:c r="D46" s="18" t="str">
        <x:v>Sellable, SKU, brand, category and strain on the order line.</x:v>
      </x:c>
      <x:c r="E46" s="18" t="str">
        <x:v>Distribution / Sales</x:v>
      </x:c>
      <x:c r="F46" s="18" t="str">
        <x:v>sales</x:v>
      </x:c>
      <x:c r="G46" s="18" t="str">
        <x:v>sales_order_item_facts</x:v>
      </x:c>
      <x:c r="H46" s="18" t="str">
        <x:v>sellable_id; sellable_type; sellable_name; sku; brand_id/name; item_category_name; strain_id/name</x:v>
      </x:c>
      <x:c r="I46" s="18" t="str">
        <x:v>Exact</x:v>
      </x:c>
      <x:c r="J46" s="18" t="str">
        <x:v>Verified schema</x:v>
      </x:c>
      <x:c r="K46" s="18" t="str">
        <x:v>Read only reporting</x:v>
      </x:c>
      <x:c r="L46" s="18" t="str">
        <x:v>Use identifiers for joins and names for display.</x:v>
      </x:c>
      <x:c r="M46" s="18" t="str">
        <x:v>Direct association.</x:v>
      </x:c>
      <x:c r="N46" s="18" t="str">
        <x:v>Low risk.</x:v>
      </x:c>
    </x:row>
    <x:row r="47" ht="21.600000381469727" hidden="0" customHeight="1">
      <x:c r="A47" s="18" t="str">
        <x:v>ORD-05</x:v>
      </x:c>
      <x:c r="B47" s="18" t="str">
        <x:v>Store order</x:v>
      </x:c>
      <x:c r="C47" s="18" t="str">
        <x:v>pricing and revenue</x:v>
      </x:c>
      <x:c r="D47" s="18" t="str">
        <x:v>Gross price, discounts, unit price and net revenue.</x:v>
      </x:c>
      <x:c r="E47" s="18" t="str">
        <x:v>Distribution / Sales</x:v>
      </x:c>
      <x:c r="F47" s="18" t="str">
        <x:v>sales</x:v>
      </x:c>
      <x:c r="G47" s="18" t="str">
        <x:v>sales_order_item_facts</x:v>
      </x:c>
      <x:c r="H47" s="18" t="str">
        <x:v>price_cents; discount_cents; unit_price_cents; net_revenue_cents</x:v>
      </x:c>
      <x:c r="I47" s="18" t="str">
        <x:v>Exact</x:v>
      </x:c>
      <x:c r="J47" s="18" t="str">
        <x:v>Verified schema</x:v>
      </x:c>
      <x:c r="K47" s="18" t="str">
        <x:v>Read only reporting</x:v>
      </x:c>
      <x:c r="L47" s="18" t="str">
        <x:v>Use net_revenue_cents for sales/revenue questions.</x:v>
      </x:c>
      <x:c r="M47" s="18" t="str">
        <x:v>Direct association.</x:v>
      </x:c>
      <x:c r="N47" s="18" t="str">
        <x:v>Core/pass-through separation still belongs to approved accounting mapping.</x:v>
      </x:c>
    </x:row>
    <x:row r="48" ht="21.600000381469727" hidden="0" customHeight="1">
      <x:c r="A48" s="18" t="str">
        <x:v>ORD-06</x:v>
      </x:c>
      <x:c r="B48" s="18" t="str">
        <x:v>Store order</x:v>
      </x:c>
      <x:c r="C48" s="18" t="str">
        <x:v>taxes</x:v>
      </x:c>
      <x:c r="D48" s="18" t="str">
        <x:v>Cultivation, state, local, other and total tax.</x:v>
      </x:c>
      <x:c r="E48" s="18" t="str">
        <x:v>Distribution / Sales</x:v>
      </x:c>
      <x:c r="F48" s="18" t="str">
        <x:v>sales</x:v>
      </x:c>
      <x:c r="G48" s="18" t="str">
        <x:v>sales_order_item_facts</x:v>
      </x:c>
      <x:c r="H48" s="18" t="str">
        <x:v>cultivation_tax_cents; state_tax_cents; local_tax_cents; other_tax_cents; total_tax_cents</x:v>
      </x:c>
      <x:c r="I48" s="18" t="str">
        <x:v>Exact</x:v>
      </x:c>
      <x:c r="J48" s="18" t="str">
        <x:v>Verified schema</x:v>
      </x:c>
      <x:c r="K48" s="18" t="str">
        <x:v>Read only reporting</x:v>
      </x:c>
      <x:c r="L48" s="18" t="str">
        <x:v>Keep tax components distinct and use total_tax_cents for aggregate burden.</x:v>
      </x:c>
      <x:c r="M48" s="18" t="str">
        <x:v>Direct association.</x:v>
      </x:c>
      <x:c r="N48" s="18" t="str">
        <x:v>Low risk.</x:v>
      </x:c>
    </x:row>
    <x:row r="49" ht="21.600000381469727" hidden="0" customHeight="1">
      <x:c r="A49" s="18" t="str">
        <x:v>ORD-07</x:v>
      </x:c>
      <x:c r="B49" s="18" t="str">
        <x:v>Store order</x:v>
      </x:c>
      <x:c r="C49" s="18" t="str">
        <x:v>order lifecycle</x:v>
      </x:c>
      <x:c r="D49" s="18" t="str">
        <x:v>Order status and lifecycle flags.</x:v>
      </x:c>
      <x:c r="E49" s="18" t="str">
        <x:v>Distribution / Sales</x:v>
      </x:c>
      <x:c r="F49" s="18" t="str">
        <x:v>sales</x:v>
      </x:c>
      <x:c r="G49" s="18" t="str">
        <x:v>sales_order_item_facts</x:v>
      </x:c>
      <x:c r="H49" s="18" t="str">
        <x:v>sales_order_status; is_shipped; is_completed; is_voided; is_backordered; is_returned; is_sample</x:v>
      </x:c>
      <x:c r="I49" s="18" t="str">
        <x:v>Exact</x:v>
      </x:c>
      <x:c r="J49" s="18" t="str">
        <x:v>Verified schema</x:v>
      </x:c>
      <x:c r="K49" s="18" t="str">
        <x:v>Read only reporting</x:v>
      </x:c>
      <x:c r="L49" s="18" t="str">
        <x:v>Use the status plus flags; exclude samples where revenue logic requires.</x:v>
      </x:c>
      <x:c r="M49" s="18" t="str">
        <x:v>Direct association.</x:v>
      </x:c>
      <x:c r="N49" s="18" t="str">
        <x:v>Status semantics must follow current Canix definitions.</x:v>
      </x:c>
    </x:row>
    <x:row r="50" ht="15" hidden="0" customHeight="1">
      <x:c r="A50" s="18" t="str">
        <x:v>ORD-08</x:v>
      </x:c>
      <x:c r="B50" s="18" t="str">
        <x:v>Store order</x:v>
      </x:c>
      <x:c r="C50" s="18" t="str">
        <x:v>scheduled delivery</x:v>
      </x:c>
      <x:c r="D50" s="18" t="str">
        <x:v>Scheduled delivery date and lead time.</x:v>
      </x:c>
      <x:c r="E50" s="18" t="str">
        <x:v>Distribution / Sales</x:v>
      </x:c>
      <x:c r="F50" s="18" t="str">
        <x:v>sales</x:v>
      </x:c>
      <x:c r="G50" s="18" t="str">
        <x:v>sales_order_item_facts</x:v>
      </x:c>
      <x:c r="H50" s="18" t="str">
        <x:v>scheduled_delivery_at; days_to_scheduled_delivery</x:v>
      </x:c>
      <x:c r="I50" s="18" t="str">
        <x:v>Exact</x:v>
      </x:c>
      <x:c r="J50" s="18" t="str">
        <x:v>Verified schema</x:v>
      </x:c>
      <x:c r="K50" s="18" t="str">
        <x:v>Read only reporting</x:v>
      </x:c>
      <x:c r="L50" s="18" t="str">
        <x:v>Use for delivery notifications and lag analysis.</x:v>
      </x:c>
      <x:c r="M50" s="18" t="str">
        <x:v>Direct association.</x:v>
      </x:c>
      <x:c r="N50" s="18" t="str">
        <x:v>Null means no date was set.</x:v>
      </x:c>
    </x:row>
    <x:row r="51" ht="32.400001525878906" hidden="0" customHeight="1">
      <x:c r="A51" s="18" t="str">
        <x:v>AR-01</x:v>
      </x:c>
      <x:c r="B51" s="18" t="str">
        <x:v>Payments</x:v>
      </x:c>
      <x:c r="C51" s="18" t="str">
        <x:v>customer payment records</x:v>
      </x:c>
      <x:c r="D51" s="18" t="str">
        <x:v>Payments recorded against sales orders.</x:v>
      </x:c>
      <x:c r="E51" s="18" t="str">
        <x:v>Distribution / Sales</x:v>
      </x:c>
      <x:c r="F51" s="18" t="str">
        <x:v>sales</x:v>
      </x:c>
      <x:c r="G51" s="18" t="str">
        <x:v>order_payment_facts</x:v>
      </x:c>
      <x:c r="H51" s="18" t="str">
        <x:v>payment_id; sales_order_id; customer_id; paid_at; amount_cents; reference_number; external_transaction_name</x:v>
      </x:c>
      <x:c r="I51" s="18" t="str">
        <x:v>Exact</x:v>
      </x:c>
      <x:c r="J51" s="18" t="str">
        <x:v>Verified schema</x:v>
      </x:c>
      <x:c r="K51" s="18" t="str">
        <x:v>Read only reporting</x:v>
      </x:c>
      <x:c r="L51" s="18" t="str">
        <x:v>Use payment rows for payment history; join on sales_order_id.</x:v>
      </x:c>
      <x:c r="M51" s="18" t="str">
        <x:v>Contradicts the older draft's broad claim that no payment data is exposed.</x:v>
      </x:c>
      <x:c r="N51" s="18" t="str">
        <x:v>Payments are not a complete invoice/aging subledger.</x:v>
      </x:c>
    </x:row>
    <x:row r="52" ht="32.400001525878906" hidden="0" customHeight="1">
      <x:c r="A52" s="18" t="str">
        <x:v>AR-02</x:v>
      </x:c>
      <x:c r="B52" s="18" t="str">
        <x:v>Receivables</x:v>
      </x:c>
      <x:c r="C52" s="18" t="str">
        <x:v>order balance and payment state</x:v>
      </x:c>
      <x:c r="D52" s="18" t="str">
        <x:v>Remaining order balance and paid state allocated to sales lines.</x:v>
      </x:c>
      <x:c r="E52" s="18" t="str">
        <x:v>Distribution / Sales</x:v>
      </x:c>
      <x:c r="F52" s="18" t="str">
        <x:v>sales</x:v>
      </x:c>
      <x:c r="G52" s="18" t="str">
        <x:v>sales_order_item_facts</x:v>
      </x:c>
      <x:c r="H52" s="18" t="str">
        <x:v>paid_cents; balance_cents; paid_ratio; is_fully_paid; is_overpaid</x:v>
      </x:c>
      <x:c r="I52" s="18" t="str">
        <x:v>Partial</x:v>
      </x:c>
      <x:c r="J52" s="18" t="str">
        <x:v>Verified schema</x:v>
      </x:c>
      <x:c r="K52" s="18" t="str">
        <x:v>Read only reporting</x:v>
      </x:c>
      <x:c r="L52" s="18" t="str">
        <x:v>Aggregate paid_cents and balance_cents at order/customer grain; never sum paid_ratio.</x:v>
      </x:c>
      <x:c r="M52" s="18" t="str">
        <x:v>Current Canix exposes balance/payment signals, but no AR domain or authoritative aging model.</x:v>
      </x:c>
      <x:c r="N52" s="18" t="str">
        <x:v>Cached order totals can rarely diverge from live app balance.</x:v>
      </x:c>
    </x:row>
    <x:row r="53" ht="32.400001525878906" hidden="0" customHeight="1">
      <x:c r="A53" s="18" t="str">
        <x:v>AR-03</x:v>
      </x:c>
      <x:c r="B53" s="18" t="str">
        <x:v>Receivables</x:v>
      </x:c>
      <x:c r="C53" s="18" t="str">
        <x:v>invoice_id / invoice_date / due_date / terms / aging_bucket</x:v>
      </x:c>
      <x:c r="D53" s="18" t="str">
        <x:v>Authoritative invoice and aging facts.</x:v>
      </x:c>
      <x:c r="E53" s="18" t="str">
        <x:v>Distribution / Sales</x:v>
      </x:c>
      <x:c r="F53" s="18" t="str">
        <x:v>—</x:v>
      </x:c>
      <x:c r="G53" s="18" t="str">
        <x:v>—</x:v>
      </x:c>
      <x:c r="H53" s="18" t="str">
        <x:v>No invoice identity, due date, customer terms or aging bucket in current reporting schemas</x:v>
      </x:c>
      <x:c r="I53" s="18" t="str">
        <x:v>Gap</x:v>
      </x:c>
      <x:c r="J53" s="18" t="str">
        <x:v>Verified absence in current schemas</x:v>
      </x:c>
      <x:c r="K53" s="18" t="str">
        <x:v>No carrier</x:v>
      </x:c>
      <x:c r="L53" s="18" t="str">
        <x:v>Keep QuickBooks as proposed authority pending inspection; do not derive formal aging without due date/terms.</x:v>
      </x:c>
      <x:c r="M53" s="18" t="str">
        <x:v>The older draft is still correct about the missing invoice/aging field set, but not about all payment/balance data.</x:v>
      </x:c>
      <x:c r="N53" s="18" t="str">
        <x:v>Collections cannot rely on order balance alone.</x:v>
      </x:c>
    </x:row>
    <x:row r="54" ht="21.600000381469727" hidden="0" customHeight="1">
      <x:c r="A54" s="18" t="str">
        <x:v>AR-04</x:v>
      </x:c>
      <x:c r="B54" s="18" t="str">
        <x:v>Receivables</x:v>
      </x:c>
      <x:c r="C54" s="18" t="str">
        <x:v>dunning_tier + history</x:v>
      </x:c>
      <x:c r="D54" s="18" t="str">
        <x:v>Approved collection stage and action history.</x:v>
      </x:c>
      <x:c r="E54" s="18" t="str">
        <x:v>Distribution / Sales</x:v>
      </x:c>
      <x:c r="F54" s="18" t="str">
        <x:v>—</x:v>
      </x:c>
      <x:c r="G54" s="18" t="str">
        <x:v>—</x:v>
      </x:c>
      <x:c r="H54" s="18" t="str">
        <x:v>No reporting carrier identified</x:v>
      </x:c>
      <x:c r="I54" s="18" t="str">
        <x:v>Gap</x:v>
      </x:c>
      <x:c r="J54" s="18" t="str">
        <x:v>Verified absence in current schemas</x:v>
      </x:c>
      <x:c r="K54" s="18" t="str">
        <x:v>No carrier</x:v>
      </x:c>
      <x:c r="L54" s="18" t="str">
        <x:v>Keep as workflow state outside Canix.</x:v>
      </x:c>
      <x:c r="M54" s="18" t="str">
        <x:v>No current Canix field records dunning workflow.</x:v>
      </x:c>
      <x:c r="N54" s="18" t="str">
        <x:v>Actions cannot be audited or resumed from Canix alone.</x:v>
      </x:c>
    </x:row>
    <x:row r="55" ht="21.600000381469727" hidden="0" customHeight="1">
      <x:c r="A55" s="18" t="str">
        <x:v>AR-05</x:v>
      </x:c>
      <x:c r="B55" s="18" t="str">
        <x:v>Receivables</x:v>
      </x:c>
      <x:c r="C55" s="18" t="str">
        <x:v>HOLD / COD gate</x:v>
      </x:c>
      <x:c r="D55" s="18" t="str">
        <x:v>Customer-level order-entry enforcement state.</x:v>
      </x:c>
      <x:c r="E55" s="18" t="str">
        <x:v>Distribution / Sales</x:v>
      </x:c>
      <x:c r="F55" s="18" t="str">
        <x:v>—</x:v>
      </x:c>
      <x:c r="G55" s="18" t="str">
        <x:v>—</x:v>
      </x:c>
      <x:c r="H55" s="18" t="str">
        <x:v>No reporting carrier or enforcement evidence identified</x:v>
      </x:c>
      <x:c r="I55" s="18" t="str">
        <x:v>Gap</x:v>
      </x:c>
      <x:c r="J55" s="18" t="str">
        <x:v>Verified absence in current schemas</x:v>
      </x:c>
      <x:c r="K55" s="18" t="str">
        <x:v>Write path unvalidated</x:v>
      </x:c>
      <x:c r="L55" s="18" t="str">
        <x:v>Requires Canix capability validation and a governed customer field.</x:v>
      </x:c>
      <x:c r="M55" s="18" t="str">
        <x:v>No reporting evidence that a flag can block order entry.</x:v>
      </x:c>
      <x:c r="N55" s="18" t="str">
        <x:v>A visual flag without enforcement would create false control confidence.</x:v>
      </x:c>
    </x:row>
    <x:row r="56" ht="21.600000381469727" hidden="0" customHeight="1">
      <x:c r="A56" s="18" t="str">
        <x:v>INT-01</x:v>
      </x:c>
      <x:c r="B56" s="18" t="str">
        <x:v>Integrity</x:v>
      </x:c>
      <x:c r="C56" s="18" t="str">
        <x:v>Canix↔state submission signal</x:v>
      </x:c>
      <x:c r="D56" s="18" t="str">
        <x:v>Source data for sync/submission exceptions.</x:v>
      </x:c>
      <x:c r="E56" s="18" t="str">
        <x:v>All licenses</x:v>
      </x:c>
      <x:c r="F56" s="18" t="str">
        <x:v>inventory / cultivation</x:v>
      </x:c>
      <x:c r="G56" s="18" t="str">
        <x:v>package_inventory_facts_current; harvest_facts_current</x:v>
      </x:c>
      <x:c r="H56" s="18" t="str">
        <x:v>compliance_submitted; facility_integration; current_state</x:v>
      </x:c>
      <x:c r="I56" s="18" t="str">
        <x:v>Partial</x:v>
      </x:c>
      <x:c r="J56" s="18" t="str">
        <x:v>Verified schema</x:v>
      </x:c>
      <x:c r="K56" s="18" t="str">
        <x:v>Read only reporting</x:v>
      </x:c>
      <x:c r="L56" s="18" t="str">
        <x:v>Generate exceptions with integration-aware rules.</x:v>
      </x:c>
      <x:c r="M56" s="18" t="str">
        <x:v>Signals exist, but no complete sync-event history is exposed.</x:v>
      </x:c>
      <x:c r="N56" s="18" t="str">
        <x:v>Integration-specific nulls can be misread as business events.</x:v>
      </x:c>
    </x:row>
    <x:row r="57" ht="32.400001525878906" hidden="0" customHeight="1">
      <x:c r="A57" s="18" t="str">
        <x:v>INT-02</x:v>
      </x:c>
      <x:c r="B57" s="18" t="str">
        <x:v>Integrity</x:v>
      </x:c>
      <x:c r="C57" s="18" t="str">
        <x:v>Canix↔QuickBooks reconciliation inputs</x:v>
      </x:c>
      <x:c r="D57" s="18" t="str">
        <x:v>Operational quantity/value signals used in reconciliation.</x:v>
      </x:c>
      <x:c r="E57" s="18" t="str">
        <x:v>All licenses</x:v>
      </x:c>
      <x:c r="F57" s="18" t="str">
        <x:v>inventory / sales</x:v>
      </x:c>
      <x:c r="G57" s="18" t="str">
        <x:v>package_inventory_facts_current; sales_order_item_facts</x:v>
      </x:c>
      <x:c r="H57" s="18" t="str">
        <x:v>package quantities; cost snapshots; net_revenue_cents; paid_cents; balance_cents</x:v>
      </x:c>
      <x:c r="I57" s="18" t="str">
        <x:v>Partial</x:v>
      </x:c>
      <x:c r="J57" s="18" t="str">
        <x:v>Verified schema</x:v>
      </x:c>
      <x:c r="K57" s="18" t="str">
        <x:v>Read only reporting</x:v>
      </x:c>
      <x:c r="L57" s="18" t="str">
        <x:v>Use as source measures only; reconciliation remains incomplete until cost_object_id and ownership exist.</x:v>
      </x:c>
      <x:c r="M57" s="18" t="str">
        <x:v>The data supports partial reconciliation, not canonical segmentation.</x:v>
      </x:c>
      <x:c r="N57" s="18" t="str">
        <x:v>Variances cannot be explained consistently without join dimensions.</x:v>
      </x:c>
    </x:row>
    <x:row r="58" ht="21.600000381469727" hidden="0" customHeight="1">
      <x:c r="A58" s="18" t="str">
        <x:v>INT-03</x:v>
      </x:c>
      <x:c r="B58" s="18" t="str">
        <x:v>Integrity</x:v>
      </x:c>
      <x:c r="C58" s="18" t="str">
        <x:v>exception record / workflow</x:v>
      </x:c>
      <x:c r="D58" s="18" t="str">
        <x:v>Owner, SLA, evidence, blocked action and approved closure.</x:v>
      </x:c>
      <x:c r="E58" s="18" t="str">
        <x:v>All licenses</x:v>
      </x:c>
      <x:c r="F58" s="18" t="str">
        <x:v>—</x:v>
      </x:c>
      <x:c r="G58" s="18" t="str">
        <x:v>—</x:v>
      </x:c>
      <x:c r="H58" s="18" t="str">
        <x:v>No exception-workflow reporting object identified</x:v>
      </x:c>
      <x:c r="I58" s="18" t="str">
        <x:v>Gap</x:v>
      </x:c>
      <x:c r="J58" s="18" t="str">
        <x:v>Verified absence in current schemas</x:v>
      </x:c>
      <x:c r="K58" s="18" t="str">
        <x:v>No carrier</x:v>
      </x:c>
      <x:c r="L58" s="18" t="str">
        <x:v>Keep in Monday/control workflow; link back to Canix identifiers.</x:v>
      </x:c>
      <x:c r="M58" s="18" t="str">
        <x:v>Canix can supply source failures but not the UX OS exception lifecycle.</x:v>
      </x:c>
      <x:c r="N58" s="18" t="str">
        <x:v>Without workflow evidence, detected failures may not close safely.</x:v>
      </x:c>
    </x:row>
    <x:row r="59" ht="32.400001525878906" hidden="0" customHeight="1">
      <x:c r="A59" s="18" t="str">
        <x:v>PRC-01</x:v>
      </x:c>
      <x:c r="B59" s="18" t="str">
        <x:v>Procurement</x:v>
      </x:c>
      <x:c r="C59" s="18" t="str">
        <x:v>vendor identity and purchase order</x:v>
      </x:c>
      <x:c r="D59" s="18" t="str">
        <x:v>Vendor and supplier-side purchase-order facts.</x:v>
      </x:c>
      <x:c r="E59" s="18" t="str">
        <x:v>Cultivation / Processing</x:v>
      </x:c>
      <x:c r="F59" s="18" t="str">
        <x:v>procurement</x:v>
      </x:c>
      <x:c r="G59" s="18" t="str">
        <x:v>purchase_order_item_facts</x:v>
      </x:c>
      <x:c r="H59" s="18" t="str">
        <x:v>vendor_id; vendor_name; vendor_license_number; purchase_order_id; purchase_order_item_id; purchase_order_status</x:v>
      </x:c>
      <x:c r="I59" s="18" t="str">
        <x:v>Exact</x:v>
      </x:c>
      <x:c r="J59" s="18" t="str">
        <x:v>Verified schema</x:v>
      </x:c>
      <x:c r="K59" s="18" t="str">
        <x:v>Read only reporting</x:v>
      </x:c>
      <x:c r="L59" s="18" t="str">
        <x:v>Use for procurement analytics; qualification approval remains external.</x:v>
      </x:c>
      <x:c r="M59" s="18" t="str">
        <x:v>Direct identity/order association, not a vendor-qualification workflow.</x:v>
      </x:c>
      <x:c r="N59" s="18" t="str">
        <x:v>Do not infer approved status from purchase activity.</x:v>
      </x:c>
    </x:row>
    <x:row r="60" ht="21.600000381469727" hidden="0" customHeight="1">
      <x:c r="A60" s="18" t="str">
        <x:v>PRC-02</x:v>
      </x:c>
      <x:c r="B60" s="18" t="str">
        <x:v>Procurement</x:v>
      </x:c>
      <x:c r="C60" s="18" t="str">
        <x:v>vendor qualification</x:v>
      </x:c>
      <x:c r="D60" s="18" t="str">
        <x:v>Evidence, approval, expiry and requalification state.</x:v>
      </x:c>
      <x:c r="E60" s="18" t="str">
        <x:v>Cultivation / Processing</x:v>
      </x:c>
      <x:c r="F60" s="18" t="str">
        <x:v>—</x:v>
      </x:c>
      <x:c r="G60" s="18" t="str">
        <x:v>—</x:v>
      </x:c>
      <x:c r="H60" s="18" t="str">
        <x:v>No qualification-workflow carrier identified</x:v>
      </x:c>
      <x:c r="I60" s="18" t="str">
        <x:v>Gap</x:v>
      </x:c>
      <x:c r="J60" s="18" t="str">
        <x:v>Verified absence in current schemas</x:v>
      </x:c>
      <x:c r="K60" s="18" t="str">
        <x:v>No carrier</x:v>
      </x:c>
      <x:c r="L60" s="18" t="str">
        <x:v>Keep in the governed vendor workflow and link vendor_id.</x:v>
      </x:c>
      <x:c r="M60" s="18" t="str">
        <x:v>Procurement spend does not prove qualification.</x:v>
      </x:c>
      <x:c r="N60" s="18" t="str">
        <x:v>Unqualified vendors could appear active if spend is treated as approval.</x:v>
      </x:c>
    </x:row>
    <x:row r="61" ht="21.600000381469727" hidden="0" customHeight="1">
      <x:c r="A61" s="18" t="str">
        <x:v>PO-01</x:v>
      </x:c>
      <x:c r="B61" s="18" t="str">
        <x:v>Brand order</x:v>
      </x:c>
      <x:c r="C61" s="18" t="str">
        <x:v>brand PO</x:v>
      </x:c>
      <x:c r="D61" s="18" t="str">
        <x:v>Versioned brand-side order driving production.</x:v>
      </x:c>
      <x:c r="E61" s="18" t="str">
        <x:v>Processing</x:v>
      </x:c>
      <x:c r="F61" s="18" t="str">
        <x:v>procurement / inventory</x:v>
      </x:c>
      <x:c r="G61" s="18" t="str">
        <x:v>purchase_order_item_facts; package_inventory_facts_current</x:v>
      </x:c>
      <x:c r="H61" s="18" t="str">
        <x:v>purchase_order fields are supplier procurement; package/order links are downstream only</x:v>
      </x:c>
      <x:c r="I61" s="18" t="str">
        <x:v>Partial</x:v>
      </x:c>
      <x:c r="J61" s="18" t="str">
        <x:v>Verified schema</x:v>
      </x:c>
      <x:c r="K61" s="18" t="str">
        <x:v>Read only reporting</x:v>
      </x:c>
      <x:c r="L61" s="18" t="str">
        <x:v>Keep versioned brand PO as its own workflow record; link resulting Canix identifiers.</x:v>
      </x:c>
      <x:c r="M61" s="18" t="str">
        <x:v>Canix procurement purchase orders are not automatically the UX OS brand PO contract.</x:v>
      </x:c>
      <x:c r="N61" s="18" t="str">
        <x:v>Conflating supplier and brand order paths breaks versioning and accountability.</x:v>
      </x:c>
    </x:row>
    <x:row r="63">
      <x:c r="A63" s="113" t="str">
        <x:v>Audit as of 2026-08-31 · Current Canix reporting schemas verify read fields only; they do not prove production write paths or controls.</x:v>
      </x:c>
      <x:c r="B63" s="113"/>
      <x:c r="C63" s="113"/>
      <x:c r="D63" s="113"/>
      <x:c r="E63" s="113"/>
      <x:c r="F63" s="113"/>
      <x:c r="G63" s="113"/>
      <x:c r="H63" s="113"/>
      <x:c r="I63" s="113"/>
      <x:c r="J63" s="113"/>
      <x:c r="K63" s="113"/>
      <x:c r="L63" s="113"/>
      <x:c r="M63" s="113"/>
      <x:c r="N63" s="113"/>
    </x:row>
  </x:sheetData>
  <x:mergeCells>
    <x:mergeCell ref="A1:N1"/>
    <x:mergeCell ref="A2:N2"/>
    <x:mergeCell ref="A63:N63"/>
  </x:mergeCells>
  <x:conditionalFormatting sqref="I5:I61">
    <x:cfRule type="containsText" dxfId="0" priority="1" operator="containsText" text="Exact"/>
    <x:cfRule type="containsText" dxfId="1" priority="2" operator="containsText" text="Approved proxy"/>
    <x:cfRule type="containsText" dxfId="2" priority="3" operator="containsText" text="Derived"/>
    <x:cfRule type="containsText" dxfId="3" priority="4" operator="containsText" text="Partial"/>
    <x:cfRule type="containsText" dxfId="4" priority="5" operator="containsText" text="Gap"/>
  </x:conditionalFormatting>
  <x:dataValidations count="1">
    <x:dataValidation type="list" sqref="I5:I61">
      <x:formula1>"Exact,Approved proxy,Partial,Derived,Gap"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6a911ec74540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12.779999732971191" hidden="0" customWidth="1"/>
    <x:col min="3" max="3" width="20" hidden="0" customWidth="1"/>
    <x:col min="4" max="4" width="25" hidden="0" customWidth="1"/>
    <x:col min="5" max="5" width="18.329999923706055" hidden="0" customWidth="1"/>
    <x:col min="6" max="6" width="33.33000183105469" hidden="0" customWidth="1"/>
    <x:col min="7" max="7" width="15" hidden="0" customWidth="1"/>
    <x:col min="8" max="8" width="10" hidden="0" customWidth="1"/>
    <x:col min="9" max="9" width="28.889999389648438" hidden="0" customWidth="1"/>
  </x:cols>
  <x:sheetData>
    <x:row r="1" ht="28.5" customHeight="1">
      <x:c r="A1" s="3" t="str">
        <x:v>Audit of the Simplified Canix Mapping</x:v>
      </x:c>
      <x:c r="B1" s="3"/>
      <x:c r="C1" s="3"/>
      <x:c r="D1" s="3"/>
      <x:c r="E1" s="3"/>
      <x:c r="F1" s="3"/>
      <x:c r="G1" s="3"/>
      <x:c r="H1" s="3"/>
      <x:c r="I1" s="3"/>
    </x:row>
    <x:row r="2" ht="25.5" customHeight="1">
      <x:c r="A2" s="7" t="str">
        <x:v>Every row from the three-license workbook, including the Owner, UOM, and Cost Object mappings now accepted as explicit business overrides.</x:v>
      </x:c>
      <x:c r="B2" s="7"/>
      <x:c r="C2" s="7"/>
      <x:c r="D2" s="7"/>
      <x:c r="E2" s="7"/>
      <x:c r="F2" s="7"/>
      <x:c r="G2" s="7"/>
      <x:c r="H2" s="7"/>
      <x:c r="I2" s="7"/>
    </x:row>
    <x:row r="4">
      <x:c r="A4" s="11" t="str">
        <x:v>License</x:v>
      </x:c>
      <x:c r="B4" s="11" t="str">
        <x:v>UX OS field</x:v>
      </x:c>
      <x:c r="C4" s="11" t="str">
        <x:v>Original closest Canix field</x:v>
      </x:c>
      <x:c r="D4" s="11" t="str">
        <x:v>Original risk</x:v>
      </x:c>
      <x:c r="E4" s="11" t="str">
        <x:v>Canonical target</x:v>
      </x:c>
      <x:c r="F4" s="11" t="str">
        <x:v>Corrected Canix association</x:v>
      </x:c>
      <x:c r="G4" s="11" t="str">
        <x:v>Disposition</x:v>
      </x:c>
      <x:c r="H4" s="11" t="str">
        <x:v>Association</x:v>
      </x:c>
      <x:c r="I4" s="11" t="str">
        <x:v>Audit rationale</x:v>
      </x:c>
    </x:row>
    <x:row r="5" ht="21.600000381469727" hidden="0" customHeight="1">
      <x:c r="A5" s="17" t="str">
        <x:v>Processing License</x:v>
      </x:c>
      <x:c r="B5" s="17" t="str">
        <x:v>Owner</x:v>
      </x:c>
      <x:c r="C5" s="17" t="str">
        <x:v>Brand</x:v>
      </x:c>
      <x:c r="D5" s="17" t="str">
        <x:v>Brand may not be the economic owner.</x:v>
      </x:c>
      <x:c r="E5" s="17" t="str">
        <x:v>owner_id + owner_name</x:v>
      </x:c>
      <x:c r="F5" s="17" t="str">
        <x:v>brand_id / brand_name, aliased to Owner when present; blank remains blank.</x:v>
      </x:c>
      <x:c r="G5" s="17" t="str">
        <x:v>Approved business override</x:v>
      </x:c>
      <x:c r="H5" s="17" t="str">
        <x:v>Approved proxy</x:v>
      </x:c>
      <x:c r="I5" s="17" t="str">
        <x:v>User decision: treat Brand as Owner operationally while retaining raw brand fields.</x:v>
      </x:c>
    </x:row>
    <x:row r="6" ht="32.400001525878906" hidden="0" customHeight="1">
      <x:c r="A6" s="18" t="str">
        <x:v>Processing License</x:v>
      </x:c>
      <x:c r="B6" s="18" t="str">
        <x:v>Cost Object</x:v>
      </x:c>
      <x:c r="C6" s="18" t="str">
        <x:v>Sales Order Line</x:v>
      </x:c>
      <x:c r="D6" s="18" t="str">
        <x:v>Only works when work is tied to a sales order line; internal work needs its own cost object.</x:v>
      </x:c>
      <x:c r="E6" s="18" t="str">
        <x:v>cost_object_id</x:v>
      </x:c>
      <x:c r="F6" s="18" t="str">
        <x:v>order_item_id, aliased to Cost Object when present; blank remains blank.</x:v>
      </x:c>
      <x:c r="G6" s="18" t="str">
        <x:v>Approved business override</x:v>
      </x:c>
      <x:c r="H6" s="18" t="str">
        <x:v>Approved proxy</x:v>
      </x:c>
      <x:c r="I6" s="18" t="str">
        <x:v>User decision: treat Sales Order Line as Cost Object and accept null for non-order work.</x:v>
      </x:c>
    </x:row>
    <x:row r="7" ht="32.400001525878906" hidden="0" customHeight="1">
      <x:c r="A7" s="18" t="str">
        <x:v>Processing License</x:v>
      </x:c>
      <x:c r="B7" s="18" t="str">
        <x:v>UOM</x:v>
      </x:c>
      <x:c r="C7" s="18" t="str">
        <x:v>Status</x:v>
      </x:c>
      <x:c r="D7" s="18" t="str">
        <x:v>Status also tracks inventory stage, so UOM can be confused with workflow status.</x:v>
      </x:c>
      <x:c r="E7" s="18" t="str">
        <x:v>uom_code</x:v>
      </x:c>
      <x:c r="F7" s="18" t="str">
        <x:v>Free-form status, restricted to G_IN, G_OUT, G_DRY, or G_WET; other values become blank.</x:v>
      </x:c>
      <x:c r="G7" s="18" t="str">
        <x:v>Approved business override</x:v>
      </x:c>
      <x:c r="H7" s="18" t="str">
        <x:v>Approved proxy</x:v>
      </x:c>
      <x:c r="I7" s="18" t="str">
        <x:v>User decision: use Status as the UOM carrier; preserve raw status and use status_category for workflow.</x:v>
      </x:c>
    </x:row>
    <x:row r="8" ht="21.600000381469727" hidden="0" customHeight="1">
      <x:c r="A8" s="18" t="str">
        <x:v>Processing License</x:v>
      </x:c>
      <x:c r="B8" s="18" t="str">
        <x:v>Order Source</x:v>
      </x:c>
      <x:c r="C8" s="18" t="str">
        <x:v>Sales Order</x:v>
      </x:c>
      <x:c r="D8" s="18" t="str">
        <x:v>Internal work may not have a sales order.</x:v>
      </x:c>
      <x:c r="E8" s="18" t="str">
        <x:v>order_source</x:v>
      </x:c>
      <x:c r="F8" s="18" t="str">
        <x:v>No current reporting carrier.</x:v>
      </x:c>
      <x:c r="G8" s="18" t="str">
        <x:v>Incorrect</x:v>
      </x:c>
      <x:c r="H8" s="18" t="str">
        <x:v>Gap</x:v>
      </x:c>
      <x:c r="I8" s="18" t="str">
        <x:v>Sales order identity does not state origin channel.</x:v>
      </x:c>
    </x:row>
    <x:row r="9" ht="21.600000381469727" hidden="0" customHeight="1">
      <x:c r="A9" s="18" t="str">
        <x:v>Processing License</x:v>
      </x:c>
      <x:c r="B9" s="18" t="str">
        <x:v>Inventory</x:v>
      </x:c>
      <x:c r="C9" s="18" t="str">
        <x:v>Package</x:v>
      </x:c>
      <x:c r="D9" s="18" t="str">
        <x:v>Package identifies physical inventory, not who owns or values it.</x:v>
      </x:c>
      <x:c r="E9" s="18" t="str">
        <x:v>package identity + state</x:v>
      </x:c>
      <x:c r="F9" s="18" t="str">
        <x:v>package_inventory_facts_current with package_id, tag, quantity, location and status fields.</x:v>
      </x:c>
      <x:c r="G9" s="18" t="str">
        <x:v>Confirmed with expansion</x:v>
      </x:c>
      <x:c r="H9" s="18" t="str">
        <x:v>Exact</x:v>
      </x:c>
      <x:c r="I9" s="18" t="str">
        <x:v>Package is the correct grain, but the mapping must name the explicit fields.</x:v>
      </x:c>
    </x:row>
    <x:row r="10" ht="32.400001525878906" hidden="0" customHeight="1">
      <x:c r="A10" s="18" t="str">
        <x:v>Processing License</x:v>
      </x:c>
      <x:c r="B10" s="18" t="str">
        <x:v>Lineage</x:v>
      </x:c>
      <x:c r="C10" s="18" t="str">
        <x:v>Production Batch Number</x:v>
      </x:c>
      <x:c r="D10" s="18" t="str">
        <x:v>Production Batch shows the run, but may not capture every source package.</x:v>
      </x:c>
      <x:c r="E10" s="18" t="str">
        <x:v>lineage graph</x:v>
      </x:c>
      <x:c r="F10" s="18" t="str">
        <x:v>lot_id + production_batch_number; harvest_id→destination_package_id for harvest output; later parent-package edges absent.</x:v>
      </x:c>
      <x:c r="G10" s="18" t="str">
        <x:v>Directionally correct</x:v>
      </x:c>
      <x:c r="H10" s="18" t="str">
        <x:v>Partial</x:v>
      </x:c>
      <x:c r="I10" s="18" t="str">
        <x:v>Batch is one lineage attribute, not the complete trace graph.</x:v>
      </x:c>
    </x:row>
    <x:row r="11" ht="21.600000381469727" hidden="0" customHeight="1">
      <x:c r="A11" s="18" t="str">
        <x:v>Processing License</x:v>
      </x:c>
      <x:c r="B11" s="18" t="str">
        <x:v>Potency Tier</x:v>
      </x:c>
      <x:c r="C11" s="18" t="str">
        <x:v>Lab Test Results</x:v>
      </x:c>
      <x:c r="D11" s="18" t="str">
        <x:v>Lab results are exact test values, not a simple potency tier.</x:v>
      </x:c>
      <x:c r="E11" s="18" t="str">
        <x:v>potency_tier</x:v>
      </x:c>
      <x:c r="F11" s="18" t="str">
        <x:v>Derived from approved rules over lab measures such as total_thc_percent; tier itself is not stored.</x:v>
      </x:c>
      <x:c r="G11" s="18" t="str">
        <x:v>Directionally correct</x:v>
      </x:c>
      <x:c r="H11" s="18" t="str">
        <x:v>Derived</x:v>
      </x:c>
      <x:c r="I11" s="18" t="str">
        <x:v>Raw result and canonical tier must remain distinct.</x:v>
      </x:c>
    </x:row>
    <x:row r="12" ht="21.600000381469727" hidden="0" customHeight="1">
      <x:c r="A12" s="18" t="str">
        <x:v>Processing License</x:v>
      </x:c>
      <x:c r="B12" s="18" t="str">
        <x:v>Grading Tier</x:v>
      </x:c>
      <x:c r="C12" s="18" t="str">
        <x:v>Sub Type</x:v>
      </x:c>
      <x:c r="D12" s="18" t="str">
        <x:v>Sub Type is free text, so names can become inconsistent.</x:v>
      </x:c>
      <x:c r="E12" s="18" t="str">
        <x:v>grading_tier</x:v>
      </x:c>
      <x:c r="F12" s="18" t="str">
        <x:v>item_sub_category_name is a weak source label; no canonical grading tier exists.</x:v>
      </x:c>
      <x:c r="G12" s="18" t="str">
        <x:v>Directionally correct</x:v>
      </x:c>
      <x:c r="H12" s="18" t="str">
        <x:v>Partial</x:v>
      </x:c>
      <x:c r="I12" s="18" t="str">
        <x:v>Facility-specific sparse labels require a governed crosswalk.</x:v>
      </x:c>
    </x:row>
    <x:row r="13" ht="32.400001525878906" hidden="0" customHeight="1">
      <x:c r="A13" s="18" t="str">
        <x:v>Processing License</x:v>
      </x:c>
      <x:c r="B13" s="18" t="str">
        <x:v>Release Date</x:v>
      </x:c>
      <x:c r="C13" s="18" t="str">
        <x:v>Marked Available Date</x:v>
      </x:c>
      <x:c r="D13" s="18" t="str">
        <x:v>Marked Available Date may not equal the true QA/compliance release date.</x:v>
      </x:c>
      <x:c r="E13" s="18" t="str">
        <x:v>release_event</x:v>
      </x:c>
      <x:c r="F13" s="18" t="str">
        <x:v>marked_available_date is package availability; lab_test_facts.release_time is lab-result release. Neither alone is CCO release.</x:v>
      </x:c>
      <x:c r="G13" s="18" t="str">
        <x:v>Directionally correct</x:v>
      </x:c>
      <x:c r="H13" s="18" t="str">
        <x:v>Partial</x:v>
      </x:c>
      <x:c r="I13" s="18" t="str">
        <x:v>The original risk is correct; event semantics must be explicit.</x:v>
      </x:c>
    </x:row>
    <x:row r="14" ht="21.600000381469727" hidden="0" customHeight="1">
      <x:c r="A14" s="18" t="str">
        <x:v>Cultivation License</x:v>
      </x:c>
      <x:c r="B14" s="18" t="str">
        <x:v>Owner</x:v>
      </x:c>
      <x:c r="C14" s="18" t="str">
        <x:v>Brand</x:v>
      </x:c>
      <x:c r="D14" s="18" t="str">
        <x:v>Brand may not be the economic owner.</x:v>
      </x:c>
      <x:c r="E14" s="18" t="str">
        <x:v>owner_id + owner_name</x:v>
      </x:c>
      <x:c r="F14" s="18" t="str">
        <x:v>brand_id / brand_name, aliased to Owner when present; blank remains blank.</x:v>
      </x:c>
      <x:c r="G14" s="18" t="str">
        <x:v>Approved business override</x:v>
      </x:c>
      <x:c r="H14" s="18" t="str">
        <x:v>Approved proxy</x:v>
      </x:c>
      <x:c r="I14" s="18" t="str">
        <x:v>User decision: treat Brand as Owner operationally while retaining raw brand fields.</x:v>
      </x:c>
    </x:row>
    <x:row r="15" ht="32.400001525878906" hidden="0" customHeight="1">
      <x:c r="A15" s="18" t="str">
        <x:v>Cultivation License</x:v>
      </x:c>
      <x:c r="B15" s="18" t="str">
        <x:v>Labor Costs</x:v>
      </x:c>
      <x:c r="C15" s="18" t="str">
        <x:v>Assign Labor Cogs</x:v>
      </x:c>
      <x:c r="D15" s="18" t="str">
        <x:v>No risk this is the right field</x:v>
      </x:c>
      <x:c r="E15" s="18" t="str">
        <x:v>harvest labor cost</x:v>
      </x:c>
      <x:c r="F15" s="18" t="str">
        <x:v>harvest_cost_facts_current.current_labor_cogs_cents; package current_labor_cogs_cents for current package snapshot.</x:v>
      </x:c>
      <x:c r="G15" s="18" t="str">
        <x:v>Confirmed with caveat</x:v>
      </x:c>
      <x:c r="H15" s="18" t="str">
        <x:v>Exact</x:v>
      </x:c>
      <x:c r="I15" s="18" t="str">
        <x:v>The reporting field exists, but coverage is opt-in and this is cost—not the labor record.</x:v>
      </x:c>
    </x:row>
    <x:row r="16" ht="21.600000381469727" hidden="0" customHeight="1">
      <x:c r="A16" s="18" t="str">
        <x:v>Cultivation License</x:v>
      </x:c>
      <x:c r="B16" s="18" t="str">
        <x:v>Non-Cannabis Costs</x:v>
      </x:c>
      <x:c r="C16" s="18" t="str">
        <x:v>Assign Non-Cannabis Inventory</x:v>
      </x:c>
      <x:c r="D16" s="18" t="str">
        <x:v>No risk this is the right field</x:v>
      </x:c>
      <x:c r="E16" s="18" t="str">
        <x:v>harvest non-cannabis cost</x:v>
      </x:c>
      <x:c r="F16" s="18" t="str">
        <x:v>harvest_facts_current.current_nci_cogs_cents and harvest_cost_facts_current.current_nci_cogs_cents.</x:v>
      </x:c>
      <x:c r="G16" s="18" t="str">
        <x:v>Confirmed with caveat</x:v>
      </x:c>
      <x:c r="H16" s="18" t="str">
        <x:v>Exact</x:v>
      </x:c>
      <x:c r="I16" s="18" t="str">
        <x:v>The measure exists but is not a complete production-cost model.</x:v>
      </x:c>
    </x:row>
    <x:row r="17" ht="21.600000381469727" hidden="0" customHeight="1">
      <x:c r="A17" s="18" t="str">
        <x:v>Cultivation License</x:v>
      </x:c>
      <x:c r="B17" s="18" t="str">
        <x:v>Order Source</x:v>
      </x:c>
      <x:c r="C17" s="18" t="str">
        <x:v>Sales Order</x:v>
      </x:c>
      <x:c r="D17" s="18" t="str">
        <x:v>Internal work may not have a sales order.</x:v>
      </x:c>
      <x:c r="E17" s="18" t="str">
        <x:v>order_source</x:v>
      </x:c>
      <x:c r="F17" s="18" t="str">
        <x:v>No current reporting carrier.</x:v>
      </x:c>
      <x:c r="G17" s="18" t="str">
        <x:v>Incorrect</x:v>
      </x:c>
      <x:c r="H17" s="18" t="str">
        <x:v>Gap</x:v>
      </x:c>
      <x:c r="I17" s="18" t="str">
        <x:v>Sales order identity does not state origin channel.</x:v>
      </x:c>
    </x:row>
    <x:row r="18" ht="21.600000381469727" hidden="0" customHeight="1">
      <x:c r="A18" s="18" t="str">
        <x:v>Cultivation License</x:v>
      </x:c>
      <x:c r="B18" s="18" t="str">
        <x:v>Inventory</x:v>
      </x:c>
      <x:c r="C18" s="18" t="str">
        <x:v>Package</x:v>
      </x:c>
      <x:c r="D18" s="18" t="str">
        <x:v>Package identifies physical inventory, not who owns or values it.</x:v>
      </x:c>
      <x:c r="E18" s="18" t="str">
        <x:v>package identity + state</x:v>
      </x:c>
      <x:c r="F18" s="18" t="str">
        <x:v>package_inventory_facts_current with package_id, tag, quantity, location and status fields.</x:v>
      </x:c>
      <x:c r="G18" s="18" t="str">
        <x:v>Confirmed with expansion</x:v>
      </x:c>
      <x:c r="H18" s="18" t="str">
        <x:v>Exact</x:v>
      </x:c>
      <x:c r="I18" s="18" t="str">
        <x:v>Package is the correct grain, not an ownership field.</x:v>
      </x:c>
    </x:row>
    <x:row r="19" ht="32.400001525878906" hidden="0" customHeight="1">
      <x:c r="A19" s="18" t="str">
        <x:v>Cultivation License</x:v>
      </x:c>
      <x:c r="B19" s="18" t="str">
        <x:v>Status</x:v>
      </x:c>
      <x:c r="C19" s="18" t="str">
        <x:v>Growth Phase</x:v>
      </x:c>
      <x:c r="D19" s="18" t="str">
        <x:v>Low risk — this is the correct Canix field.</x:v>
      </x:c>
      <x:c r="E19" s="18" t="str">
        <x:v>cultivation operational state</x:v>
      </x:c>
      <x:c r="F19" s="18" t="str">
        <x:v>No universal growth_phase reporting field. harvest current_state is integration-specific and unsuitable across integrations.</x:v>
      </x:c>
      <x:c r="G19" s="18" t="str">
        <x:v>Unverified / incorrect</x:v>
      </x:c>
      <x:c r="H19" s="18" t="str">
        <x:v>Partial</x:v>
      </x:c>
      <x:c r="I19" s="18" t="str">
        <x:v>The proposed field is not present in the current reporting schema.</x:v>
      </x:c>
    </x:row>
    <x:row r="20" ht="43.20000076293945" hidden="0" customHeight="1">
      <x:c r="A20" s="18" t="str">
        <x:v>Cultivation License</x:v>
      </x:c>
      <x:c r="B20" s="18" t="str">
        <x:v>Lineage</x:v>
      </x:c>
      <x:c r="C20" s="18" t="str">
        <x:v>Lot_Id and Production_Batch</x:v>
      </x:c>
      <x:c r="D20" s="18" t="str">
        <x:v>Lot_Id shows during harvest data, Production_Batch shows post harvest data ready to package and transfer to processing.</x:v>
      </x:c>
      <x:c r="E20" s="18" t="str">
        <x:v>lineage graph</x:v>
      </x:c>
      <x:c r="F20" s="18" t="str">
        <x:v>harvest_id + destination_package_id are the strong harvest-output link; lot_id and production_batch_number are optional attributes.</x:v>
      </x:c>
      <x:c r="G20" s="18" t="str">
        <x:v>Directionally correct</x:v>
      </x:c>
      <x:c r="H20" s="18" t="str">
        <x:v>Partial</x:v>
      </x:c>
      <x:c r="I20" s="18" t="str">
        <x:v>Use identifiers and transfer edges; labels alone are incomplete.</x:v>
      </x:c>
    </x:row>
    <x:row r="21" ht="32.400001525878906" hidden="0" customHeight="1">
      <x:c r="A21" s="18" t="str">
        <x:v>Cultivation License</x:v>
      </x:c>
      <x:c r="B21" s="18" t="str">
        <x:v>Transfer Date</x:v>
      </x:c>
      <x:c r="C21" s="18" t="str">
        <x:v>Packaged Date</x:v>
      </x:c>
      <x:c r="D21" s="18" t="str">
        <x:v>Packaged Date is when the package was created, not necessarily when it was released.</x:v>
      </x:c>
      <x:c r="E21" s="18" t="str">
        <x:v>transfer_date</x:v>
      </x:c>
      <x:c r="F21" s="18" t="str">
        <x:v>No transfer-event timestamp identified. packaged_date is package creation only.</x:v>
      </x:c>
      <x:c r="G21" s="18" t="str">
        <x:v>Incorrect</x:v>
      </x:c>
      <x:c r="H21" s="18" t="str">
        <x:v>Gap</x:v>
      </x:c>
      <x:c r="I21" s="18" t="str">
        <x:v>The original risk understates the mismatch: creation and transfer are different events.</x:v>
      </x:c>
    </x:row>
    <x:row r="22" ht="21.600000381469727" hidden="0" customHeight="1">
      <x:c r="A22" s="18" t="str">
        <x:v>Distribution License</x:v>
      </x:c>
      <x:c r="B22" s="18" t="str">
        <x:v>Owner</x:v>
      </x:c>
      <x:c r="C22" s="18" t="str">
        <x:v>Brand</x:v>
      </x:c>
      <x:c r="D22" s="18" t="str">
        <x:v>Brand may not be the economic owner.</x:v>
      </x:c>
      <x:c r="E22" s="18" t="str">
        <x:v>owner_id + owner_name</x:v>
      </x:c>
      <x:c r="F22" s="18" t="str">
        <x:v>brand_id / brand_name, aliased to Owner when present; blank remains blank.</x:v>
      </x:c>
      <x:c r="G22" s="18" t="str">
        <x:v>Approved business override</x:v>
      </x:c>
      <x:c r="H22" s="18" t="str">
        <x:v>Approved proxy</x:v>
      </x:c>
      <x:c r="I22" s="18" t="str">
        <x:v>User decision: treat Brand as Owner operationally while retaining raw brand fields.</x:v>
      </x:c>
    </x:row>
    <x:row r="23" ht="21.600000381469727" hidden="0" customHeight="1">
      <x:c r="A23" s="18" t="str">
        <x:v>Distribution License</x:v>
      </x:c>
      <x:c r="B23" s="18" t="str">
        <x:v>Cost Object</x:v>
      </x:c>
      <x:c r="C23" s="18" t="str">
        <x:v>Sales Order Line</x:v>
      </x:c>
      <x:c r="D23" s="18" t="str">
        <x:v>Cost Object will capture Units leaving the facility at a sales order level</x:v>
      </x:c>
      <x:c r="E23" s="18" t="str">
        <x:v>cost_object_id</x:v>
      </x:c>
      <x:c r="F23" s="18" t="str">
        <x:v>order_item_id, aliased to Cost Object when present; blank remains blank.</x:v>
      </x:c>
      <x:c r="G23" s="18" t="str">
        <x:v>Approved business override</x:v>
      </x:c>
      <x:c r="H23" s="18" t="str">
        <x:v>Approved proxy</x:v>
      </x:c>
      <x:c r="I23" s="18" t="str">
        <x:v>User decision: treat Sales Order Line as Cost Object and accept null for non-order work.</x:v>
      </x:c>
    </x:row>
    <x:row r="24" ht="32.400001525878906" hidden="0" customHeight="1">
      <x:c r="A24" s="18" t="str">
        <x:v>Distribution License</x:v>
      </x:c>
      <x:c r="B24" s="18" t="str">
        <x:v>UOM</x:v>
      </x:c>
      <x:c r="C24" s="18" t="str">
        <x:v>Status</x:v>
      </x:c>
      <x:c r="D24" s="18" t="str">
        <x:v>Status also tracks inventory stage, so UOM can be confused with workflow status.</x:v>
      </x:c>
      <x:c r="E24" s="18" t="str">
        <x:v>uom_code</x:v>
      </x:c>
      <x:c r="F24" s="18" t="str">
        <x:v>Free-form status, restricted to G_IN, G_OUT, G_DRY, or G_WET; other values become blank.</x:v>
      </x:c>
      <x:c r="G24" s="18" t="str">
        <x:v>Approved business override</x:v>
      </x:c>
      <x:c r="H24" s="18" t="str">
        <x:v>Approved proxy</x:v>
      </x:c>
      <x:c r="I24" s="18" t="str">
        <x:v>User decision: use Status as the UOM carrier; preserve raw status and use status_category for workflow.</x:v>
      </x:c>
    </x:row>
    <x:row r="25" ht="21.600000381469727" hidden="0" customHeight="1">
      <x:c r="A25" s="18" t="str">
        <x:v>Distribution License</x:v>
      </x:c>
      <x:c r="B25" s="18" t="str">
        <x:v>Order Source</x:v>
      </x:c>
      <x:c r="C25" s="18" t="str">
        <x:v>Sales Order</x:v>
      </x:c>
      <x:c r="D25" s="18" t="str">
        <x:v>Internal work may not have a sales order.</x:v>
      </x:c>
      <x:c r="E25" s="18" t="str">
        <x:v>order_source</x:v>
      </x:c>
      <x:c r="F25" s="18" t="str">
        <x:v>No current reporting carrier.</x:v>
      </x:c>
      <x:c r="G25" s="18" t="str">
        <x:v>Incorrect</x:v>
      </x:c>
      <x:c r="H25" s="18" t="str">
        <x:v>Gap</x:v>
      </x:c>
      <x:c r="I25" s="18" t="str">
        <x:v>Sales order identity does not state origin channel.</x:v>
      </x:c>
    </x:row>
    <x:row r="26" ht="21.600000381469727" hidden="0" customHeight="1">
      <x:c r="A26" s="18" t="str">
        <x:v>Distribution License</x:v>
      </x:c>
      <x:c r="B26" s="18" t="str">
        <x:v>Inventory</x:v>
      </x:c>
      <x:c r="C26" s="18" t="str">
        <x:v>Package</x:v>
      </x:c>
      <x:c r="D26" s="18" t="str">
        <x:v>Package identifies physical inventory, not who owns or values it.</x:v>
      </x:c>
      <x:c r="E26" s="18" t="str">
        <x:v>package identity + state</x:v>
      </x:c>
      <x:c r="F26" s="18" t="str">
        <x:v>package_inventory_facts_current with package_id, tag, quantity, location and status fields.</x:v>
      </x:c>
      <x:c r="G26" s="18" t="str">
        <x:v>Confirmed with expansion</x:v>
      </x:c>
      <x:c r="H26" s="18" t="str">
        <x:v>Exact</x:v>
      </x:c>
      <x:c r="I26" s="18" t="str">
        <x:v>Package is the correct grain, but not an ownership/value concept.</x:v>
      </x:c>
    </x:row>
    <x:row r="27" ht="21.600000381469727" hidden="0" customHeight="1">
      <x:c r="A27" s="18" t="str">
        <x:v>Distribution License</x:v>
      </x:c>
      <x:c r="B27" s="18" t="str">
        <x:v>Lineage</x:v>
      </x:c>
      <x:c r="C27" s="18" t="str">
        <x:v>Production Batch Number</x:v>
      </x:c>
      <x:c r="D27" s="18" t="str">
        <x:v>Production Batch shows the run, but may not capture every source package.</x:v>
      </x:c>
      <x:c r="E27" s="18" t="str">
        <x:v>lineage graph</x:v>
      </x:c>
      <x:c r="F27" s="18" t="str">
        <x:v>lot_id + production_batch_number; full parent-package/split-combine graph is absent.</x:v>
      </x:c>
      <x:c r="G27" s="18" t="str">
        <x:v>Directionally correct</x:v>
      </x:c>
      <x:c r="H27" s="18" t="str">
        <x:v>Partial</x:v>
      </x:c>
      <x:c r="I27" s="18" t="str">
        <x:v>The original risk is correct.</x:v>
      </x:c>
    </x:row>
    <x:row r="29">
      <x:c r="A29" s="113" t="str">
        <x:v>Audit as of 2026-08-31 · Current Canix reporting schemas verify read fields only; they do not prove production write paths or controls.</x:v>
      </x:c>
      <x:c r="B29" s="113"/>
      <x:c r="C29" s="113"/>
      <x:c r="D29" s="113"/>
      <x:c r="E29" s="113"/>
      <x:c r="F29" s="113"/>
      <x:c r="G29" s="113"/>
      <x:c r="H29" s="113"/>
      <x:c r="I29" s="113"/>
    </x:row>
  </x:sheetData>
  <x:mergeCells>
    <x:mergeCell ref="A1:I1"/>
    <x:mergeCell ref="A2:I2"/>
    <x:mergeCell ref="A29:I29"/>
  </x:mergeCells>
  <x:conditionalFormatting sqref="H5:H27">
    <x:cfRule type="containsText" dxfId="5" priority="1" operator="containsText" text="Exact"/>
    <x:cfRule type="containsText" dxfId="6" priority="2" operator="containsText" text="Approved proxy"/>
    <x:cfRule type="containsText" dxfId="7" priority="3" operator="containsText" text="Derived"/>
    <x:cfRule type="containsText" dxfId="8" priority="4" operator="containsText" text="Partial"/>
    <x:cfRule type="containsText" dxfId="9" priority="5" operator="containsText" text="Gap"/>
  </x:conditionalFormatting>
  <x:conditionalFormatting sqref="G5:G27">
    <x:cfRule type="containsText" dxfId="10" priority="6" operator="containsText" text="Incorrect"/>
    <x:cfRule type="containsText" dxfId="11" priority="7" operator="containsText" text="Confirmed"/>
    <x:cfRule type="containsText" dxfId="12" priority="8" operator="containsText" text="Approved business override"/>
  </x:conditionalFormatting>
  <x:pageMargins left="0.7" right="0.7" top="0.75" bottom="0.75" header="0.3" footer="0.3"/>
  <x:tableParts count="1">
    <x:tablePart xmlns:r="http://schemas.openxmlformats.org/officeDocument/2006/relationships" r:id="R65ebc06a0476423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1999979019165" hidden="0" customWidth="1"/>
    <x:col min="2" max="2" width="21.670000076293945" hidden="0" customWidth="1"/>
    <x:col min="3" max="3" width="31.110000610351562" hidden="0" customWidth="1"/>
    <x:col min="4" max="4" width="28.889999389648438" hidden="0" customWidth="1"/>
    <x:col min="5" max="5" width="33.33000183105469" hidden="0" customWidth="1"/>
    <x:col min="6" max="6" width="16.670000076293945" hidden="0" customWidth="1"/>
    <x:col min="7" max="7" width="10" hidden="0" customWidth="1"/>
    <x:col min="8" max="8" width="15" hidden="0" customWidth="1"/>
  </x:cols>
  <x:sheetData>
    <x:row r="1" ht="28.5" customHeight="1">
      <x:c r="A1" s="3" t="str">
        <x:v>Canix Gap and Override Register</x:v>
      </x:c>
      <x:c r="B1" s="3"/>
      <x:c r="C1" s="3"/>
      <x:c r="D1" s="3"/>
      <x:c r="E1" s="3"/>
      <x:c r="F1" s="3"/>
      <x:c r="G1" s="3"/>
      <x:c r="H1" s="3"/>
    </x:row>
    <x:row r="2" ht="25.5" customHeight="1">
      <x:c r="A2" s="7" t="str">
        <x:v>Accepted proxies remain visible beside unresolved field and control gaps so downstream users can distinguish policy from semantic equivalence.</x:v>
      </x:c>
      <x:c r="B2" s="7"/>
      <x:c r="C2" s="7"/>
      <x:c r="D2" s="7"/>
      <x:c r="E2" s="7"/>
      <x:c r="F2" s="7"/>
      <x:c r="G2" s="7"/>
      <x:c r="H2" s="7"/>
    </x:row>
    <x:row r="4">
      <x:c r="A4" s="11" t="str">
        <x:v>Priority</x:v>
      </x:c>
      <x:c r="B4" s="11" t="str">
        <x:v>Gap</x:v>
      </x:c>
      <x:c r="C4" s="11" t="str">
        <x:v>Current Canix evidence</x:v>
      </x:c>
      <x:c r="D4" s="11" t="str">
        <x:v>Why it matters</x:v>
      </x:c>
      <x:c r="E4" s="11" t="str">
        <x:v>What closes it</x:v>
      </x:c>
      <x:c r="F4" s="11" t="str">
        <x:v>Proposed owner</x:v>
      </x:c>
      <x:c r="G4" s="11" t="str">
        <x:v>Source status</x:v>
      </x:c>
      <x:c r="H4" s="11" t="str">
        <x:v>Audit status</x:v>
      </x:c>
    </x:row>
    <x:row r="5" ht="21.600000381469727" hidden="0" customHeight="1">
      <x:c r="A5" s="19" t="n">
        <x:v>1</x:v>
      </x:c>
      <x:c r="B5" s="17" t="str">
        <x:v>cost_object_id carrier</x:v>
      </x:c>
      <x:c r="C5" s="17" t="str">
        <x:v>order_item_id exists and is approved as the UX OS Cost Object alias.</x:v>
      </x:c>
      <x:c r="D5" s="17" t="str">
        <x:v>Non-order work has no line identifier.</x:v>
      </x:c>
      <x:c r="E5" s="17" t="str">
        <x:v>Allow null; preserve raw order identifiers; never synthesize a value.</x:v>
      </x:c>
      <x:c r="F5" s="17" t="str">
        <x:v>urbanXtracts / Data</x:v>
      </x:c>
      <x:c r="G5" s="17" t="str">
        <x:v>ACCEPTED</x:v>
      </x:c>
      <x:c r="H5" s="17" t="str">
        <x:v>Approved proxy</x:v>
      </x:c>
    </x:row>
    <x:row r="6" ht="21.600000381469727" hidden="0" customHeight="1">
      <x:c r="A6" s="20" t="n">
        <x:v>2</x:v>
      </x:c>
      <x:c r="B6" s="18" t="str">
        <x:v>owner carrier</x:v>
      </x:c>
      <x:c r="C6" s="18" t="str">
        <x:v>brand_id/name are approved as the UX OS Owner alias.</x:v>
      </x:c>
      <x:c r="D6" s="18" t="str">
        <x:v>Brand is still not proof of legal or economic title.</x:v>
      </x:c>
      <x:c r="E6" s="18" t="str">
        <x:v>Allow null; preserve raw brand fields; label the field as an operational owner proxy.</x:v>
      </x:c>
      <x:c r="F6" s="18" t="str">
        <x:v>urbanXtracts / Data</x:v>
      </x:c>
      <x:c r="G6" s="18" t="str">
        <x:v>ACCEPTED</x:v>
      </x:c>
      <x:c r="H6" s="18" t="str">
        <x:v>Approved proxy</x:v>
      </x:c>
    </x:row>
    <x:row r="7" ht="21.600000381469727" hidden="0" customHeight="1">
      <x:c r="A7" s="20" t="n">
        <x:v>3</x:v>
      </x:c>
      <x:c r="B7" s="18" t="str">
        <x:v>uom_code carrier</x:v>
      </x:c>
      <x:c r="C7" s="18" t="str">
        <x:v>Free-form status is approved for G_IN, G_OUT, G_DRY, and G_WET.</x:v>
      </x:c>
      <x:c r="D7" s="18" t="str">
        <x:v>Invalid or absent values cannot be guessed.</x:v>
      </x:c>
      <x:c r="E7" s="18" t="str">
        <x:v>Allow null outside the four-code allow-list; preserve raw status; use status_category for workflow.</x:v>
      </x:c>
      <x:c r="F7" s="18" t="str">
        <x:v>urbanXtracts / Operations</x:v>
      </x:c>
      <x:c r="G7" s="18" t="str">
        <x:v>ACCEPTED</x:v>
      </x:c>
      <x:c r="H7" s="18" t="str">
        <x:v>Approved proxy</x:v>
      </x:c>
    </x:row>
    <x:row r="8" ht="21.600000381469727" hidden="0" customHeight="1">
      <x:c r="A8" s="20" t="n">
        <x:v>4</x:v>
      </x:c>
      <x:c r="B8" s="18" t="str">
        <x:v>order_source</x:v>
      </x:c>
      <x:c r="C8" s="18" t="str">
        <x:v>No reporting column identifies REP/PORTAL/OFFICE/SAMPLE/TRANSFER.</x:v>
      </x:c>
      <x:c r="D8" s="18" t="str">
        <x:v>Required for routing and commission logic.</x:v>
      </x:c>
      <x:c r="E8" s="18" t="str">
        <x:v>Create immutable source field at order birth and expose it to reporting.</x:v>
      </x:c>
      <x:c r="F8" s="18" t="str">
        <x:v>Sales Ops / Canix admin</x:v>
      </x:c>
      <x:c r="G8" s="18" t="str">
        <x:v>OPEN</x:v>
      </x:c>
      <x:c r="H8" s="18" t="str">
        <x:v>Confirmed gap</x:v>
      </x:c>
    </x:row>
    <x:row r="9" ht="21.600000381469727" hidden="0" customHeight="1">
      <x:c r="A9" s="20" t="n">
        <x:v>5</x:v>
      </x:c>
      <x:c r="B9" s="18" t="str">
        <x:v>full parent-package lineage</x:v>
      </x:c>
      <x:c r="C9" s="18" t="str">
        <x:v>Harvest-to-package edges exist; later transformation edges do not.</x:v>
      </x:c>
      <x:c r="D9" s="18" t="str">
        <x:v>Required for recall, ownership inheritance and yield attribution.</x:v>
      </x:c>
      <x:c r="E9" s="18" t="str">
        <x:v>Separate Canix traceability API/read proving split/combine graph.</x:v>
      </x:c>
      <x:c r="F9" s="18" t="str">
        <x:v>Production / Data</x:v>
      </x:c>
      <x:c r="G9" s="18" t="str">
        <x:v>OPEN</x:v>
      </x:c>
      <x:c r="H9" s="18" t="str">
        <x:v>Confirmed gap</x:v>
      </x:c>
    </x:row>
    <x:row r="10" ht="21.600000381469727" hidden="0" customHeight="1">
      <x:c r="A10" s="20" t="n">
        <x:v>6</x:v>
      </x:c>
      <x:c r="B10" s="18" t="str">
        <x:v>authoritative release event</x:v>
      </x:c>
      <x:c r="C10" s="18" t="str">
        <x:v>marked_available_date and lab release_time are different proxy events.</x:v>
      </x:c>
      <x:c r="D10" s="18" t="str">
        <x:v>Separates evidence release from business/compliance approval.</x:v>
      </x:c>
      <x:c r="E10" s="18" t="str">
        <x:v>Define release authority and expose a timestamp plus approver/version.</x:v>
      </x:c>
      <x:c r="F10" s="18" t="str">
        <x:v>CCO / QA</x:v>
      </x:c>
      <x:c r="G10" s="18" t="str">
        <x:v>OPEN</x:v>
      </x:c>
      <x:c r="H10" s="18" t="str">
        <x:v>Confirmed gap</x:v>
      </x:c>
    </x:row>
    <x:row r="11" ht="21.600000381469727" hidden="0" customHeight="1">
      <x:c r="A11" s="20" t="n">
        <x:v>7</x:v>
      </x:c>
      <x:c r="B11" s="18" t="str">
        <x:v>transfer event date</x:v>
      </x:c>
      <x:c r="C11" s="18" t="str">
        <x:v>No transfer timestamp in current reporting schemas.</x:v>
      </x:c>
      <x:c r="D11" s="18" t="str">
        <x:v>Required custody and facility-movement chronology.</x:v>
      </x:c>
      <x:c r="E11" s="18" t="str">
        <x:v>Expose Canix transfer event/history endpoint.</x:v>
      </x:c>
      <x:c r="F11" s="18" t="str">
        <x:v>Compliance / Canix admin</x:v>
      </x:c>
      <x:c r="G11" s="18" t="str">
        <x:v>OPEN</x:v>
      </x:c>
      <x:c r="H11" s="18" t="str">
        <x:v>Confirmed gap</x:v>
      </x:c>
    </x:row>
    <x:row r="12" ht="21.600000381469727" hidden="0" customHeight="1">
      <x:c r="A12" s="20" t="n">
        <x:v>8</x:v>
      </x:c>
      <x:c r="B12" s="18" t="str">
        <x:v>account_owner on store master</x:v>
      </x:c>
      <x:c r="C12" s="18" t="str">
        <x:v>Only order-level sales_rep fields are exposed.</x:v>
      </x:c>
      <x:c r="D12" s="18" t="str">
        <x:v>Routes AR and every store-facing action.</x:v>
      </x:c>
      <x:c r="E12" s="18" t="str">
        <x:v>Home decision + derivation rule + sales-rep cleanup + customer-level carrier.</x:v>
      </x:c>
      <x:c r="F12" s="18" t="str">
        <x:v>Eran / Steve Bate</x:v>
      </x:c>
      <x:c r="G12" s="18" t="str">
        <x:v>NEW</x:v>
      </x:c>
      <x:c r="H12" s="18" t="str">
        <x:v>Confirmed gap</x:v>
      </x:c>
    </x:row>
    <x:row r="13" ht="21.600000381469727" hidden="0" customHeight="1">
      <x:c r="A13" s="20" t="n">
        <x:v>9</x:v>
      </x:c>
      <x:c r="B13" s="18" t="str">
        <x:v>invoice / due date / terms / aging</x:v>
      </x:c>
      <x:c r="C13" s="18" t="str">
        <x:v>Order payments and balances exist; invoice and aging fields do not.</x:v>
      </x:c>
      <x:c r="D13" s="18" t="str">
        <x:v>Formal AR and collections require due-date authority.</x:v>
      </x:c>
      <x:c r="E13" s="18" t="str">
        <x:v>Inspect QuickBooks; determine system of record and deterministic order↔invoice join.</x:v>
      </x:c>
      <x:c r="F13" s="18" t="str">
        <x:v>Steven Felice / Amrit</x:v>
      </x:c>
      <x:c r="G13" s="18" t="str">
        <x:v>NEW</x:v>
      </x:c>
      <x:c r="H13" s="18" t="str">
        <x:v>Narrowed gap</x:v>
      </x:c>
    </x:row>
    <x:row r="14" ht="21.600000381469727" hidden="0" customHeight="1">
      <x:c r="A14" s="20" t="n">
        <x:v>10</x:v>
      </x:c>
      <x:c r="B14" s="18" t="str">
        <x:v>AR gate flag enforceable at order entry</x:v>
      </x:c>
      <x:c r="C14" s="18" t="str">
        <x:v>No reporting carrier or enforcement evidence.</x:v>
      </x:c>
      <x:c r="D14" s="18" t="str">
        <x:v>HOLD/COD must block or flag before accepting the next order.</x:v>
      </x:c>
      <x:c r="E14" s="18" t="str">
        <x:v>Canix capability validation with sandbox/admin evidence.</x:v>
      </x:c>
      <x:c r="F14" s="18" t="str">
        <x:v>Steven Felice</x:v>
      </x:c>
      <x:c r="G14" s="18" t="str">
        <x:v>NEW</x:v>
      </x:c>
      <x:c r="H14" s="18" t="str">
        <x:v>Confirmed gap</x:v>
      </x:c>
    </x:row>
    <x:row r="15" ht="21.600000381469727" hidden="0" customHeight="1">
      <x:c r="A15" s="20" t="n">
        <x:v>11</x:v>
      </x:c>
      <x:c r="B15" s="18" t="str">
        <x:v>license_expiry on store master</x:v>
      </x:c>
      <x:c r="C15" s="18" t="str">
        <x:v>Order rows carry license number, not expiry.</x:v>
      </x:c>
      <x:c r="D15" s="18" t="str">
        <x:v>Expired licenses must feed the same order-entry gate.</x:v>
      </x:c>
      <x:c r="E15" s="18" t="str">
        <x:v>Choose home and validate Canix customer carrier/enforcement.</x:v>
      </x:c>
      <x:c r="F15" s="18" t="str">
        <x:v>Drew / CCO</x:v>
      </x:c>
      <x:c r="G15" s="18" t="str">
        <x:v>NEW</x:v>
      </x:c>
      <x:c r="H15" s="18" t="str">
        <x:v>Confirmed gap</x:v>
      </x:c>
    </x:row>
    <x:row r="16" ht="21.600000381469727" hidden="0" customHeight="1">
      <x:c r="A16" s="20" t="n">
        <x:v>12</x:v>
      </x:c>
      <x:c r="B16" s="18" t="str">
        <x:v>labor record landing place</x:v>
      </x:c>
      <x:c r="C16" s="18" t="str">
        <x:v>Labor cost values exist; employee/task/hours/approval do not.</x:v>
      </x:c>
      <x:c r="D16" s="18" t="str">
        <x:v>Required audit trail for unit economics and supervisor verification.</x:v>
      </x:c>
      <x:c r="E16" s="18" t="str">
        <x:v>Close labor-record decisions and validate a Canix carrier or external SoR.</x:v>
      </x:c>
      <x:c r="F16" s="18" t="str">
        <x:v>Drew / HR / Data</x:v>
      </x:c>
      <x:c r="G16" s="18" t="str">
        <x:v>OPEN</x:v>
      </x:c>
      <x:c r="H16" s="18" t="str">
        <x:v>Confirmed gap</x:v>
      </x:c>
    </x:row>
    <x:row r="17" ht="21.600000381469727" hidden="0" customHeight="1">
      <x:c r="A17" s="20" t="n">
        <x:v>13</x:v>
      </x:c>
      <x:c r="B17" s="18" t="str">
        <x:v>grading tier taxonomy</x:v>
      </x:c>
      <x:c r="C17" s="18" t="str">
        <x:v>item_sub_category_name is sparse facility free text.</x:v>
      </x:c>
      <x:c r="D17" s="18" t="str">
        <x:v>Cross-facility grade comparisons require a canonical dictionary.</x:v>
      </x:c>
      <x:c r="E17" s="18" t="str">
        <x:v>Approve taxonomy and maintain explicit source-label crosswalk.</x:v>
      </x:c>
      <x:c r="F17" s="18" t="str">
        <x:v>Cultivation / QA</x:v>
      </x:c>
      <x:c r="G17" s="18" t="str">
        <x:v>OPEN</x:v>
      </x:c>
      <x:c r="H17" s="18" t="str">
        <x:v>Partial carrier</x:v>
      </x:c>
    </x:row>
    <x:row r="18" ht="21.600000381469727" hidden="0" customHeight="1">
      <x:c r="A18" s="20" t="n">
        <x:v>14</x:v>
      </x:c>
      <x:c r="B18" s="18" t="str">
        <x:v>exception workflow</x:v>
      </x:c>
      <x:c r="C18" s="18" t="str">
        <x:v>Canix source signals exist; exception owner/SLA/evidence/closure do not.</x:v>
      </x:c>
      <x:c r="D18" s="18" t="str">
        <x:v>Hard gates require auditable resolution.</x:v>
      </x:c>
      <x:c r="E18" s="18" t="str">
        <x:v>Keep workflow in Monday/control system and link Canix identifiers.</x:v>
      </x:c>
      <x:c r="F18" s="18" t="str">
        <x:v>Compliance / Ops</x:v>
      </x:c>
      <x:c r="G18" s="18" t="str">
        <x:v>OPEN</x:v>
      </x:c>
      <x:c r="H18" s="18" t="str">
        <x:v>Confirmed gap</x:v>
      </x:c>
    </x:row>
    <x:row r="19" ht="21.600000381469727" hidden="0" customHeight="1">
      <x:c r="A19" s="20" t="n">
        <x:v>15</x:v>
      </x:c>
      <x:c r="B19" s="18" t="str">
        <x:v>employee master</x:v>
      </x:c>
      <x:c r="C19" s="18" t="str">
        <x:v>No governed employee-master domain.</x:v>
      </x:c>
      <x:c r="D19" s="18" t="str">
        <x:v>Blocks labor attribution and stable agent routing.</x:v>
      </x:c>
      <x:c r="E19" s="18" t="str">
        <x:v>Load governed roster and issue stable employee references.</x:v>
      </x:c>
      <x:c r="F19" s="18" t="str">
        <x:v>Drew / HR</x:v>
      </x:c>
      <x:c r="G19" s="18" t="str">
        <x:v>OPEN</x:v>
      </x:c>
      <x:c r="H19" s="18" t="str">
        <x:v>Confirmed gap</x:v>
      </x:c>
    </x:row>
    <x:row r="20" ht="21.600000381469727" hidden="0" customHeight="1">
      <x:c r="A20" s="20" t="n">
        <x:v>16</x:v>
      </x:c>
      <x:c r="B20" s="18" t="str">
        <x:v>credit_limit</x:v>
      </x:c>
      <x:c r="C20" s="18" t="str">
        <x:v>No field; business requirement itself is undecided.</x:v>
      </x:c>
      <x:c r="D20" s="18" t="str">
        <x:v>Needed only if credit ceiling will be enforced.</x:v>
      </x:c>
      <x:c r="E20" s="18" t="str">
        <x:v>Business decision, then choose home and enforcement.</x:v>
      </x:c>
      <x:c r="F20" s="18" t="str">
        <x:v>Amrit</x:v>
      </x:c>
      <x:c r="G20" s="18" t="str">
        <x:v>NEW</x:v>
      </x:c>
      <x:c r="H20" s="18" t="str">
        <x:v>Decision required</x:v>
      </x:c>
    </x:row>
    <x:row r="21" ht="21.600000381469727" hidden="0" customHeight="1">
      <x:c r="A21" s="20" t="n">
        <x:v>17</x:v>
      </x:c>
      <x:c r="B21" s="18" t="str">
        <x:v>Canix production/write semantics</x:v>
      </x:c>
      <x:c r="C21" s="18" t="str">
        <x:v>Reporting schemas are verified; write paths and control enforcement are not.</x:v>
      </x:c>
      <x:c r="D21" s="18" t="str">
        <x:v>A read association does not prove a live control.</x:v>
      </x:c>
      <x:c r="E21" s="18" t="str">
        <x:v>Close CX-11-style production validation with write-path evidence.</x:v>
      </x:c>
      <x:c r="F21" s="18" t="str">
        <x:v>Canix admin / Data engineering</x:v>
      </x:c>
      <x:c r="G21" s="18" t="str">
        <x:v>OPEN</x:v>
      </x:c>
      <x:c r="H21" s="18" t="str">
        <x:v>Control validation gap</x:v>
      </x:c>
    </x:row>
    <x:row r="23">
      <x:c r="A23" s="113" t="str">
        <x:v>Audit as of 2026-08-31 · Current Canix reporting schemas verify read fields only; they do not prove production write paths or controls.</x:v>
      </x:c>
      <x:c r="B23" s="113"/>
      <x:c r="C23" s="113"/>
      <x:c r="D23" s="113"/>
      <x:c r="E23" s="113"/>
      <x:c r="F23" s="113"/>
      <x:c r="G23" s="113"/>
      <x:c r="H23" s="113"/>
    </x:row>
  </x:sheetData>
  <x:mergeCells>
    <x:mergeCell ref="A1:H1"/>
    <x:mergeCell ref="A2:H2"/>
    <x:mergeCell ref="A23:H23"/>
  </x:mergeCells>
  <x:conditionalFormatting sqref="G5:G21">
    <x:cfRule type="containsText" dxfId="13" priority="1" operator="containsText" text="NEW"/>
    <x:cfRule type="containsText" dxfId="14" priority="2" operator="containsText" text="OPEN"/>
    <x:cfRule type="containsText" dxfId="15" priority="3" operator="containsText" text="ACCEPTED"/>
  </x:conditionalFormatting>
  <x:pageMargins left="0.7" right="0.7" top="0.75" bottom="0.75" header="0.3" footer="0.3"/>
  <x:tableParts count="1">
    <x:tablePart xmlns:r="http://schemas.openxmlformats.org/officeDocument/2006/relationships" r:id="R73ef176cc9e14b9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890000343322754" hidden="0" customWidth="1"/>
    <x:col min="2" max="2" width="24.440000534057617" hidden="0" customWidth="1"/>
    <x:col min="3" max="3" width="40" hidden="0" customWidth="1"/>
    <x:col min="4" max="4" width="10" hidden="0" customWidth="1"/>
    <x:col min="5" max="5" width="26.670000076293945" hidden="0" customWidth="1"/>
    <x:col min="6" max="6" width="36.66999816894531" hidden="0" customWidth="1"/>
    <x:col min="7" max="7" width="15" hidden="0" customWidth="1"/>
  </x:cols>
  <x:sheetData>
    <x:row r="1" ht="28.5" customHeight="1">
      <x:c r="A1" s="3" t="str">
        <x:v>Approved UX OS Mapping Policies</x:v>
      </x:c>
      <x:c r="B1" s="3"/>
      <x:c r="C1" s="3"/>
      <x:c r="D1" s="3"/>
      <x:c r="E1" s="3"/>
      <x:c r="F1" s="3"/>
      <x:c r="G1" s="3"/>
    </x:row>
    <x:row r="2" ht="25.5" customHeight="1">
      <x:c r="A2" s="7" t="str">
        <x:v>Implementation-ready aliases approved by urbanXtracts. Every rule is nullable and preserves the original Canix fields for auditability.</x:v>
      </x:c>
      <x:c r="B2" s="7"/>
      <x:c r="C2" s="7"/>
      <x:c r="D2" s="7"/>
      <x:c r="E2" s="7"/>
      <x:c r="F2" s="7"/>
      <x:c r="G2" s="7"/>
    </x:row>
    <x:row r="4">
      <x:c r="A4" s="11" t="str">
        <x:v>UX OS field</x:v>
      </x:c>
      <x:c r="B4" s="11" t="str">
        <x:v>Canix source</x:v>
      </x:c>
      <x:c r="C4" s="11" t="str">
        <x:v>Portal normalization rule</x:v>
      </x:c>
      <x:c r="D4" s="11" t="str">
        <x:v>Blank allowed</x:v>
      </x:c>
      <x:c r="E4" s="11" t="str">
        <x:v>Raw field preservation</x:v>
      </x:c>
      <x:c r="F4" s="11" t="str">
        <x:v>Guardrail</x:v>
      </x:c>
      <x:c r="G4" s="11" t="str">
        <x:v>Decision status</x:v>
      </x:c>
    </x:row>
    <x:row r="5" ht="21.600000381469727" hidden="0" customHeight="1">
      <x:c r="A5" s="17" t="str">
        <x:v>Owner</x:v>
      </x:c>
      <x:c r="B5" s="17" t="str">
        <x:v>brand_id; brand_name</x:v>
      </x:c>
      <x:c r="C5" s="17" t="str">
        <x:v>owner_id = brand_id ?? null; owner_name = brand_name ?? null</x:v>
      </x:c>
      <x:c r="D5" s="17" t="str">
        <x:v>Yes</x:v>
      </x:c>
      <x:c r="E5" s="17" t="str">
        <x:v>Keep brand_id and brand_name</x:v>
      </x:c>
      <x:c r="F5" s="17" t="str">
        <x:v>Operational alias only; do not call it legal or economic ownership.</x:v>
      </x:c>
      <x:c r="G5" s="17" t="str">
        <x:v>Approved 2026-08-31</x:v>
      </x:c>
    </x:row>
    <x:row r="6" ht="21.600000381469727" hidden="0" customHeight="1">
      <x:c r="A6" s="18" t="str">
        <x:v>UOM</x:v>
      </x:c>
      <x:c r="B6" s="18" t="str">
        <x:v>status</x:v>
      </x:c>
      <x:c r="C6" s="18" t="str">
        <x:v>Normalize trim + uppercase; accept only G_IN, G_OUT, G_DRY, G_WET; otherwise null</x:v>
      </x:c>
      <x:c r="D6" s="18" t="str">
        <x:v>Yes</x:v>
      </x:c>
      <x:c r="E6" s="18" t="str">
        <x:v>Keep status as canix_status_raw; use status_category for workflow</x:v>
      </x:c>
      <x:c r="F6" s="18" t="str">
        <x:v>Never infer a code. Continue separating WeightBased grams and CountBased units; volume is excluded.</x:v>
      </x:c>
      <x:c r="G6" s="18" t="str">
        <x:v>Approved 2026-08-31</x:v>
      </x:c>
    </x:row>
    <x:row r="7" ht="21.600000381469727" hidden="0" customHeight="1">
      <x:c r="A7" s="18" t="str">
        <x:v>Cost Object</x:v>
      </x:c>
      <x:c r="B7" s="18" t="str">
        <x:v>order_item_id (Sales Order Line)</x:v>
      </x:c>
      <x:c r="C7" s="18" t="str">
        <x:v>cost_object_id = order_item_id ?? null</x:v>
      </x:c>
      <x:c r="D7" s="18" t="str">
        <x:v>Yes</x:v>
      </x:c>
      <x:c r="E7" s="18" t="str">
        <x:v>Keep order_item_id and sales_order_id</x:v>
      </x:c>
      <x:c r="F7" s="18" t="str">
        <x:v>Internal or non-order activity may be blank; do not fabricate a join key.</x:v>
      </x:c>
      <x:c r="G7" s="18" t="str">
        <x:v>Approved 2026-08-31</x:v>
      </x:c>
    </x:row>
    <x:row r="9">
      <x:c r="A9" s="113" t="str">
        <x:v>Audit as of 2026-08-31 · Current Canix reporting schemas verify read fields only; they do not prove production write paths or controls.</x:v>
      </x:c>
      <x:c r="B9" s="113"/>
      <x:c r="C9" s="113"/>
      <x:c r="D9" s="113"/>
      <x:c r="E9" s="113"/>
      <x:c r="F9" s="113"/>
      <x:c r="G9" s="113"/>
    </x:row>
  </x:sheetData>
  <x:mergeCells>
    <x:mergeCell ref="A1:G1"/>
    <x:mergeCell ref="A2:G2"/>
    <x:mergeCell ref="A9:G9"/>
  </x:mergeCells>
  <x:conditionalFormatting sqref="G5:G7">
    <x:cfRule type="containsText" dxfId="16" priority="1" operator="containsText" text="Approved"/>
  </x:conditionalFormatting>
  <x:dataValidations count="1">
    <x:dataValidation type="list" sqref="D5:D7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7a83e4f570c4f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20000267028809" hidden="0" customWidth="1"/>
    <x:col min="2" max="2" width="24.440000534057617" hidden="0" customWidth="1"/>
    <x:col min="3" max="3" width="33.33000183105469" hidden="0" customWidth="1"/>
    <x:col min="4" max="4" width="47.779998779296875" hidden="0" customWidth="1"/>
    <x:col min="5" max="5" width="14.4399995803833" hidden="0" customWidth="1"/>
  </x:cols>
  <x:sheetData>
    <x:row r="1" ht="28.5" customHeight="1">
      <x:c r="A1" s="3" t="str">
        <x:v>Sources, Scope and Audit Vocabulary</x:v>
      </x:c>
      <x:c r="B1" s="3"/>
      <x:c r="C1" s="3"/>
      <x:c r="D1" s="3"/>
      <x:c r="E1" s="3"/>
    </x:row>
    <x:row r="2" ht="25.5" customHeight="1">
      <x:c r="A2" s="7" t="str">
        <x:v>Workbook contents were treated as evidence and proposals—not instructions. Current Canix schema descriptions control field-name and semantic conclusions.</x:v>
      </x:c>
      <x:c r="B2" s="7"/>
      <x:c r="C2" s="7"/>
      <x:c r="D2" s="7"/>
      <x:c r="E2" s="7"/>
    </x:row>
    <x:row r="4">
      <x:c r="A4" s="11" t="str">
        <x:v>Type</x:v>
      </x:c>
      <x:c r="B4" s="11" t="str">
        <x:v>Source / term</x:v>
      </x:c>
      <x:c r="C4" s="11" t="str">
        <x:v>Location / evidence</x:v>
      </x:c>
      <x:c r="D4" s="11" t="str">
        <x:v>Audit treatment</x:v>
      </x:c>
      <x:c r="E4" s="11" t="str">
        <x:v>As of</x:v>
      </x:c>
    </x:row>
    <x:row r="5" ht="21.600000381469727" hidden="0" customHeight="1">
      <x:c r="A5" s="17" t="str">
        <x:v>Source</x:v>
      </x:c>
      <x:c r="B5" s="17" t="str">
        <x:v>Canix_Field_Mapping_UX_Operating_System_Simplified_with_Risks.xlsm</x:v>
      </x:c>
      <x:c r="C5" s="17" t="str">
        <x:v>/Users/Apple/Downloads/Canix_Field_Mapping_UX_Operating_System_Simplified_with_Risks.xlsm</x:v>
      </x:c>
      <x:c r="D5" s="17" t="str">
        <x:v>Three license-specific simple mappings. Treated as proposals to audit, not authoritative instructions.</x:v>
      </x:c>
      <x:c r="E5" s="17" t="str">
        <x:v>2026-08-31 audit</x:v>
      </x:c>
    </x:row>
    <x:row r="6" ht="21.600000381469727" hidden="0" customHeight="1">
      <x:c r="A6" s="18" t="str">
        <x:v>Source</x:v>
      </x:c>
      <x:c r="B6" s="18" t="str">
        <x:v>UX-OS-Field-Inventory-by-System_v0.2.xlsx</x:v>
      </x:c>
      <x:c r="C6" s="18" t="str">
        <x:v>/Users/Apple/Downloads/UX-OS-Field-Inventory-by-System_v0.2.xlsx</x:v>
      </x:c>
      <x:c r="D6" s="18" t="str">
        <x:v>Draft canonical field inventory and gap register dated 2026-08-26. Its own READ ME says it is not approved.</x:v>
      </x:c>
      <x:c r="E6" s="18" t="str">
        <x:v>2026-08-31 audit</x:v>
      </x:c>
    </x:row>
    <x:row r="7" ht="32.400001525878906" hidden="0" customHeight="1">
      <x:c r="A7" s="18" t="str">
        <x:v>Authority</x:v>
      </x:c>
      <x:c r="B7" s="18" t="str">
        <x:v>Current Canix reporting schemas</x:v>
      </x:c>
      <x:c r="C7" s="18" t="str">
        <x:v>Canix connector: cultivation, inventory, lab_tests, procurement, sales</x:v>
      </x:c>
      <x:c r="D7" s="18" t="str">
        <x:v>Schema descriptions and field semantics observed from the current reporting connector. Reporting visibility does not prove production write/control semantics.</x:v>
      </x:c>
      <x:c r="E7" s="18" t="str">
        <x:v>Observed 2026-08-31</x:v>
      </x:c>
    </x:row>
    <x:row r="8" ht="21.600000381469727" hidden="0" customHeight="1">
      <x:c r="A8" s="18" t="str">
        <x:v>Constraint</x:v>
      </x:c>
      <x:c r="B8" s="18" t="str">
        <x:v>Portal quantity scope</x:v>
      </x:c>
      <x:c r="C8" s="18" t="str">
        <x:v>User direction in this task history</x:v>
      </x:c>
      <x:c r="D8" s="18" t="str">
        <x:v>The urbanXtracts portal measures WeightBased grams and CountBased units only. Unlike measures remain separate.</x:v>
      </x:c>
      <x:c r="E8" s="18" t="str">
        <x:v>Active</x:v>
      </x:c>
    </x:row>
    <x:row r="9" ht="21.600000381469727" hidden="0" customHeight="1">
      <x:c r="A9" s="18" t="str">
        <x:v>Policy decision</x:v>
      </x:c>
      <x:c r="B9" s="18" t="str">
        <x:v>Owner proxy</x:v>
      </x:c>
      <x:c r="C9" s="18" t="str">
        <x:v>User direction on 2026-08-31</x:v>
      </x:c>
      <x:c r="D9" s="18" t="str">
        <x:v>Treat Brand as Owner for UX OS portal purposes. Preserve raw brand fields and allow owner to be blank.</x:v>
      </x:c>
      <x:c r="E9" s="18" t="str">
        <x:v>Approved</x:v>
      </x:c>
    </x:row>
    <x:row r="10" ht="21.600000381469727" hidden="0" customHeight="1">
      <x:c r="A10" s="18" t="str">
        <x:v>Policy decision</x:v>
      </x:c>
      <x:c r="B10" s="18" t="str">
        <x:v>UOM proxy</x:v>
      </x:c>
      <x:c r="C10" s="18" t="str">
        <x:v>User direction on 2026-08-31</x:v>
      </x:c>
      <x:c r="D10" s="18" t="str">
        <x:v>Use the free-form Canix status field for G_IN, G_OUT, G_DRY, and G_WET. Values outside the allow-list remain blank.</x:v>
      </x:c>
      <x:c r="E10" s="18" t="str">
        <x:v>Approved</x:v>
      </x:c>
    </x:row>
    <x:row r="11" ht="21.600000381469727" hidden="0" customHeight="1">
      <x:c r="A11" s="18" t="str">
        <x:v>Policy decision</x:v>
      </x:c>
      <x:c r="B11" s="18" t="str">
        <x:v>Cost Object proxy</x:v>
      </x:c>
      <x:c r="C11" s="18" t="str">
        <x:v>User direction on 2026-08-31</x:v>
      </x:c>
      <x:c r="D11" s="18" t="str">
        <x:v>Treat Sales Order Line / order_item_id as Cost Object. Allow the field to be blank.</x:v>
      </x:c>
      <x:c r="E11" s="18" t="str">
        <x:v>Approved</x:v>
      </x:c>
    </x:row>
    <x:row r="12" ht="21.600000381469727" hidden="0" customHeight="1">
      <x:c r="A12" s="18" t="str">
        <x:v>Status definition</x:v>
      </x:c>
      <x:c r="B12" s="18" t="str">
        <x:v>Exact</x:v>
      </x:c>
      <x:c r="C12" s="18" t="str">
        <x:v>—</x:v>
      </x:c>
      <x:c r="D12" s="18" t="str">
        <x:v>The Canix field directly carries the UX OS fact at the required grain and meaning.</x:v>
      </x:c>
      <x:c r="E12" s="18" t="str">
        <x:v>Audit vocabulary</x:v>
      </x:c>
    </x:row>
    <x:row r="13" ht="21.600000381469727" hidden="0" customHeight="1">
      <x:c r="A13" s="18" t="str">
        <x:v>Status definition</x:v>
      </x:c>
      <x:c r="B13" s="18" t="str">
        <x:v>Approved proxy</x:v>
      </x:c>
      <x:c r="C13" s="18" t="str">
        <x:v>—</x:v>
      </x:c>
      <x:c r="D13" s="18" t="str">
        <x:v>urbanXtracts has approved a deliberate alias despite a semantic mismatch. Raw Canix fields remain visible and null stays null.</x:v>
      </x:c>
      <x:c r="E13" s="18" t="str">
        <x:v>Audit vocabulary</x:v>
      </x:c>
    </x:row>
    <x:row r="14" ht="21.600000381469727" hidden="0" customHeight="1">
      <x:c r="A14" s="18" t="str">
        <x:v>Status definition</x:v>
      </x:c>
      <x:c r="B14" s="18" t="str">
        <x:v>Partial</x:v>
      </x:c>
      <x:c r="C14" s="18" t="str">
        <x:v>—</x:v>
      </x:c>
      <x:c r="D14" s="18" t="str">
        <x:v>A relevant Canix signal exists, but grain, semantics, completeness, or authority differs.</x:v>
      </x:c>
      <x:c r="E14" s="18" t="str">
        <x:v>Audit vocabulary</x:v>
      </x:c>
    </x:row>
    <x:row r="15" ht="21.600000381469727" hidden="0" customHeight="1">
      <x:c r="A15" s="18" t="str">
        <x:v>Status definition</x:v>
      </x:c>
      <x:c r="B15" s="18" t="str">
        <x:v>Derived</x:v>
      </x:c>
      <x:c r="C15" s="18" t="str">
        <x:v>—</x:v>
      </x:c>
      <x:c r="D15" s="18" t="str">
        <x:v>The UX OS field can be calculated from verified Canix values only under an approved rule.</x:v>
      </x:c>
      <x:c r="E15" s="18" t="str">
        <x:v>Audit vocabulary</x:v>
      </x:c>
    </x:row>
    <x:row r="16" ht="21.600000381469727" hidden="0" customHeight="1">
      <x:c r="A16" s="18" t="str">
        <x:v>Status definition</x:v>
      </x:c>
      <x:c r="B16" s="18" t="str">
        <x:v>Gap</x:v>
      </x:c>
      <x:c r="C16" s="18" t="str">
        <x:v>—</x:v>
      </x:c>
      <x:c r="D16" s="18" t="str">
        <x:v>No current reporting carrier was identified. A proxy must not be treated as the canonical field.</x:v>
      </x:c>
      <x:c r="E16" s="18" t="str">
        <x:v>Audit vocabulary</x:v>
      </x:c>
    </x:row>
    <x:row r="17" ht="21.600000381469727" hidden="0" customHeight="1">
      <x:c r="A17" s="18" t="str">
        <x:v>Important change</x:v>
      </x:c>
      <x:c r="B17" s="18" t="str">
        <x:v>Reporting domains</x:v>
      </x:c>
      <x:c r="C17" s="18" t="str">
        <x:v>Draft says exactly three domains; current connector exposes five.</x:v>
      </x:c>
      <x:c r="D17" s="18" t="str">
        <x:v>Current domains: cultivation, inventory, lab_tests, procurement, and sales.</x:v>
      </x:c>
      <x:c r="E17" s="18" t="str">
        <x:v>Supersedes draft fact</x:v>
      </x:c>
    </x:row>
    <x:row r="18" ht="32.400001525878906" hidden="0" customHeight="1">
      <x:c r="A18" s="18" t="str">
        <x:v>Important change</x:v>
      </x:c>
      <x:c r="B18" s="18" t="str">
        <x:v>AR visibility</x:v>
      </x:c>
      <x:c r="C18" s="18" t="str">
        <x:v>Draft broadly says payments/balances are absent.</x:v>
      </x:c>
      <x:c r="D18" s="18" t="str">
        <x:v>Current sales schema exposes order_payment_facts and paid_cents/balance_cents/payment-state fields, but still lacks invoice identity, due date, customer terms, and aging.</x:v>
      </x:c>
      <x:c r="E18" s="18" t="str">
        <x:v>Narrowed conclusion</x:v>
      </x:c>
    </x:row>
    <x:row r="19" ht="21.600000381469727" hidden="0" customHeight="1">
      <x:c r="A19" s="18" t="str">
        <x:v>Official API guidance</x:v>
      </x:c>
      <x:c r="B19" s="18" t="str">
        <x:v>Canix API Guide</x:v>
      </x:c>
      <x:c r="C19" s="18" t="str">
        <x:v>https://help.canix.com/hc/en-us/articles/40887688340756-Canix-API-Guide</x:v>
      </x:c>
      <x:c r="D19" s="18" t="str">
        <x:v>Canix uses API keys generated under Admin &gt; API. Keys inherit the generating user's permission group; list endpoints paginate with limit/offset.</x:v>
      </x:c>
      <x:c r="E19" s="18" t="str">
        <x:v>Accessed 2026-08-31</x:v>
      </x:c>
    </x:row>
    <x:row r="20" ht="32.400001525878906" hidden="0" customHeight="1">
      <x:c r="A20" s="18" t="str">
        <x:v>Official API reference</x:v>
      </x:c>
      <x:c r="B20" s="18" t="str">
        <x:v>Canix Swagger</x:v>
      </x:c>
      <x:c r="C20" s="18" t="str">
        <x:v>https://api.canix.com/api-docs-swagger/index.html</x:v>
      </x:c>
      <x:c r="D20" s="18" t="str">
        <x:v>REST endpoints include packages, sales orders, customers, facilities, items, transfers, plants, harvests, and related resources. Keep the X-API-KEY server-side.</x:v>
      </x:c>
      <x:c r="E20" s="18" t="str">
        <x:v>Accessed 2026-08-31</x:v>
      </x:c>
    </x:row>
    <x:row r="22">
      <x:c r="A22" s="113" t="str">
        <x:v>Audit as of 2026-08-31 · Current Canix reporting schemas verify read fields only; they do not prove production write paths or controls.</x:v>
      </x:c>
      <x:c r="B22" s="113"/>
      <x:c r="C22" s="113"/>
      <x:c r="D22" s="113"/>
      <x:c r="E22" s="113"/>
    </x:row>
  </x:sheetData>
  <x:mergeCells>
    <x:mergeCell ref="A1:E1"/>
    <x:mergeCell ref="A2:E2"/>
    <x:mergeCell ref="A22:E22"/>
  </x:mergeCells>
  <x:pageMargins left="0.7" right="0.7" top="0.75" bottom="0.75" header="0.3" footer="0.3"/>
  <x:tableParts count="1">
    <x:tablePart xmlns:r="http://schemas.openxmlformats.org/officeDocument/2006/relationships" r:id="Rbb7e7ef964a64913"/>
  </x:tableParts>
</x:worksheet>
</file>